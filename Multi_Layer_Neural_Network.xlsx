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Architecture" sheetId="1" state="visible" r:id="rId1"/>
    <sheet name="Interactive Predictor" sheetId="2" state="visible" r:id="rId2"/>
    <sheet name="Forward Pass (All Data)" sheetId="3" state="visible" r:id="rId3"/>
    <sheet name="Backpropagation Walkthrough" sheetId="4" state="visible" r:id="rId4"/>
    <sheet name="Weights &amp; Biases" sheetId="5" state="visible" r:id="rId5"/>
    <sheet name="Model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1F497D"/>
      <sz val="22"/>
    </font>
    <font>
      <name val="Calibri"/>
      <b val="1"/>
      <color rgb="001F497D"/>
      <sz val="14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03764"/>
        <bgColor rgb="00203764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" fillId="4" borderId="1" pivotButton="0" quotePrefix="0" xfId="0"/>
    <xf numFmtId="164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2" fontId="8" fillId="7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9" fillId="5" borderId="1" pivotButton="0" quotePrefix="0" xfId="0"/>
    <xf numFmtId="164" fontId="9" fillId="6" borderId="1" pivotButton="0" quotePrefix="0" xfId="0"/>
    <xf numFmtId="0" fontId="6" fillId="0" borderId="1" pivotButton="0" quotePrefix="0" xfId="0"/>
    <xf numFmtId="164" fontId="3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25" customWidth="1" min="4" max="4"/>
    <col width="30" customWidth="1" min="5" max="5"/>
    <col width="32" customWidth="1" min="6" max="6"/>
    <col width="28" customWidth="1" min="7" max="7"/>
    <col width="27" customWidth="1" min="8" max="8"/>
    <col width="13" customWidth="1" min="9" max="9"/>
    <col width="21" customWidth="1" min="10" max="10"/>
  </cols>
  <sheetData>
    <row r="1"/>
    <row r="2">
      <c r="B2" s="1" t="inlineStr">
        <is>
          <t>ARTIFICIAL NEURAL NETWORKS (ANN) - ASSIGNMENT NO 2</t>
        </is>
      </c>
    </row>
    <row r="3">
      <c r="B3" s="2" t="inlineStr">
        <is>
          <t>Multi-Layer Neural Network (MLNN / MLP) - Student Exam Score Predictor</t>
        </is>
      </c>
    </row>
    <row r="4"/>
    <row r="5">
      <c r="B5" s="3" t="inlineStr">
        <is>
          <t>Course:</t>
        </is>
      </c>
      <c r="C5" s="4" t="inlineStr">
        <is>
          <t>ANN by Mam Saima Hassan</t>
        </is>
      </c>
      <c r="E5" s="3" t="inlineStr">
        <is>
          <t>Assignment:</t>
        </is>
      </c>
      <c r="F5" s="4" t="inlineStr">
        <is>
          <t>No 2 (Multi-Layer Neural Network)</t>
        </is>
      </c>
    </row>
    <row r="6">
      <c r="B6" s="3" t="inlineStr">
        <is>
          <t>Model Type:</t>
        </is>
      </c>
      <c r="C6" s="4" t="inlineStr">
        <is>
          <t>Feedforward MLNN (MLP)</t>
        </is>
      </c>
      <c r="E6" s="3" t="inlineStr">
        <is>
          <t>Training Alg:</t>
        </is>
      </c>
      <c r="F6" s="4" t="inlineStr">
        <is>
          <t>Backpropagation / L-BFGS Optimization</t>
        </is>
      </c>
    </row>
    <row r="7">
      <c r="B7" s="3" t="inlineStr">
        <is>
          <t>Inputs:</t>
        </is>
      </c>
      <c r="C7" s="4" t="inlineStr">
        <is>
          <t>3 Features (Study Hours, Attendance %, Previous Score)</t>
        </is>
      </c>
      <c r="E7" s="3" t="inlineStr">
        <is>
          <t>Output:</t>
        </is>
      </c>
      <c r="F7" s="4" t="inlineStr">
        <is>
          <t>1 Target (Final Exam Score)</t>
        </is>
      </c>
    </row>
    <row r="8"/>
    <row r="9">
      <c r="B9" s="5" t="inlineStr">
        <is>
          <t>1. NEURAL NETWORK TOPOLOGY</t>
        </is>
      </c>
      <c r="G9" s="5" t="inlineStr">
        <is>
          <t>2. MIN-MAX NORMALIZATION REFERENCE</t>
        </is>
      </c>
    </row>
    <row r="10">
      <c r="B10" s="6" t="inlineStr">
        <is>
          <t>Layer</t>
        </is>
      </c>
      <c r="C10" s="6" t="inlineStr">
        <is>
          <t>Neurons</t>
        </is>
      </c>
      <c r="D10" s="6" t="inlineStr">
        <is>
          <t>Activation Function</t>
        </is>
      </c>
      <c r="E10" s="6" t="inlineStr">
        <is>
          <t>Mathematical Formula</t>
        </is>
      </c>
      <c r="G10" s="6" t="inlineStr">
        <is>
          <t>Variable</t>
        </is>
      </c>
      <c r="H10" s="6" t="inlineStr">
        <is>
          <t>Min Value</t>
        </is>
      </c>
      <c r="I10" s="6" t="inlineStr">
        <is>
          <t>Max Value</t>
        </is>
      </c>
      <c r="J10" s="6" t="inlineStr">
        <is>
          <t>Range (Max - Min)</t>
        </is>
      </c>
    </row>
    <row r="11">
      <c r="B11" s="7" t="inlineStr">
        <is>
          <t>Layer 1: Input Layer</t>
        </is>
      </c>
      <c r="C11" s="8" t="n">
        <v>3</v>
      </c>
      <c r="D11" s="7" t="inlineStr">
        <is>
          <t>Linear / None</t>
        </is>
      </c>
      <c r="E11" s="9" t="inlineStr">
        <is>
          <t>x1: Study Hours, x2: Attendance %, x3: Prev Score</t>
        </is>
      </c>
      <c r="G11" s="7" t="inlineStr">
        <is>
          <t>Study_Hours (x1)</t>
        </is>
      </c>
      <c r="H11" s="8" t="n">
        <v>1</v>
      </c>
      <c r="I11" s="8" t="n">
        <v>7.5</v>
      </c>
      <c r="J11" s="8" t="n">
        <v>6.5</v>
      </c>
    </row>
    <row r="12">
      <c r="B12" s="7" t="inlineStr">
        <is>
          <t>Layer 2: Hidden Layer</t>
        </is>
      </c>
      <c r="C12" s="8" t="n">
        <v>3</v>
      </c>
      <c r="D12" s="7" t="inlineStr">
        <is>
          <t>Logistic (Sigmoid)</t>
        </is>
      </c>
      <c r="E12" s="9" t="inlineStr">
        <is>
          <t>h_j = 1 / (1 + EXP(-z_hj)), where z_hj = b1_j + SUM(w_ij * x_i)</t>
        </is>
      </c>
      <c r="G12" s="7" t="inlineStr">
        <is>
          <t>Attendance_Percent (x2)</t>
        </is>
      </c>
      <c r="H12" s="8" t="n">
        <v>55</v>
      </c>
      <c r="I12" s="8" t="n">
        <v>96</v>
      </c>
      <c r="J12" s="8" t="n">
        <v>41</v>
      </c>
    </row>
    <row r="13">
      <c r="B13" s="7" t="inlineStr">
        <is>
          <t>Layer 3: Output Layer</t>
        </is>
      </c>
      <c r="C13" s="8" t="n">
        <v>1</v>
      </c>
      <c r="D13" s="7" t="inlineStr">
        <is>
          <t>Linear / De-normalized</t>
        </is>
      </c>
      <c r="E13" s="9" t="inlineStr">
        <is>
          <t>y_norm = b2 + SUM(w2_j * h_j) -&gt; y_pred = y_norm * (Max - Min) + Min</t>
        </is>
      </c>
      <c r="G13" s="7" t="inlineStr">
        <is>
          <t>Previous_Test_Score (x3)</t>
        </is>
      </c>
      <c r="H13" s="8" t="n">
        <v>40</v>
      </c>
      <c r="I13" s="8" t="n">
        <v>85</v>
      </c>
      <c r="J13" s="8" t="n">
        <v>45</v>
      </c>
    </row>
    <row r="14">
      <c r="G14" s="7" t="inlineStr">
        <is>
          <t>Final_Exam_Score (y)</t>
        </is>
      </c>
      <c r="H14" s="8" t="n">
        <v>38</v>
      </c>
      <c r="I14" s="8" t="n">
        <v>88</v>
      </c>
      <c r="J14" s="8" t="n">
        <v>50</v>
      </c>
    </row>
    <row r="15"/>
    <row r="16">
      <c r="B16" s="5" t="inlineStr">
        <is>
          <t>3. PERFORMANCE BENCHMARK (MULTIPLE LINEAR REGRESSION VS MULTI-LAYER NEURAL NETWORK)</t>
        </is>
      </c>
    </row>
    <row r="17">
      <c r="B17" s="6" t="inlineStr">
        <is>
          <t>Model Name</t>
        </is>
      </c>
      <c r="C17" s="6" t="inlineStr">
        <is>
          <t>Architecture / Type</t>
        </is>
      </c>
      <c r="D17" s="6" t="inlineStr">
        <is>
          <t>Train MAE</t>
        </is>
      </c>
      <c r="E17" s="6" t="inlineStr">
        <is>
          <t>Test MAE</t>
        </is>
      </c>
      <c r="F17" s="6" t="inlineStr">
        <is>
          <t>Test RMSE</t>
        </is>
      </c>
      <c r="G17" s="6" t="inlineStr">
        <is>
          <t>Test R-squared (R²)</t>
        </is>
      </c>
      <c r="H17" s="6" t="inlineStr">
        <is>
          <t>Performance Status</t>
        </is>
      </c>
    </row>
    <row r="18">
      <c r="B18" s="7" t="inlineStr">
        <is>
          <t>Multiple Linear Regression (Assignment 1)</t>
        </is>
      </c>
      <c r="C18" s="7" t="inlineStr">
        <is>
          <t>Ordinary Least Squares</t>
        </is>
      </c>
      <c r="D18" s="8" t="n">
        <v>0.74</v>
      </c>
      <c r="E18" s="8" t="n">
        <v>0.76</v>
      </c>
      <c r="F18" s="8" t="n">
        <v>0.95</v>
      </c>
      <c r="G18" s="8" t="n">
        <v>0.995</v>
      </c>
      <c r="H18" s="8" t="inlineStr">
        <is>
          <t>Baseline</t>
        </is>
      </c>
    </row>
    <row r="19">
      <c r="B19" s="10" t="inlineStr">
        <is>
          <t>Multi-Layer Neural Network (Assignment 2)</t>
        </is>
      </c>
      <c r="C19" s="10" t="inlineStr">
        <is>
          <t>3-3-1 MLP (Sigmoid Hidden)</t>
        </is>
      </c>
      <c r="D19" s="11" t="n">
        <v>0.4273</v>
      </c>
      <c r="E19" s="11" t="n">
        <v>0.6813</v>
      </c>
      <c r="F19" s="11" t="n">
        <v>0.7341</v>
      </c>
      <c r="G19" s="11" t="n">
        <v>0.9971</v>
      </c>
      <c r="H19" s="11" t="inlineStr">
        <is>
          <t>SUPERIOR (Lowest Error)</t>
        </is>
      </c>
    </row>
    <row r="20"/>
    <row r="21"/>
    <row r="22">
      <c r="B22" s="5" t="inlineStr">
        <is>
          <t>4. HOW TO TRAIN / OPTIMIZE IN EXCEL USING SOLVER</t>
        </is>
      </c>
    </row>
    <row r="23">
      <c r="B23" s="12" t="inlineStr">
        <is>
          <t>Step 1: Open Microsoft Excel and navigate to the 'Forward Pass (All Data)' sheet.</t>
        </is>
      </c>
    </row>
    <row r="24">
      <c r="B24" s="12" t="inlineStr">
        <is>
          <t>Step 2: Go to the 'Data' tab on the Excel ribbon and click 'Solver' (Enable via File -&gt; Options -&gt; Add-ins -&gt; Excel Add-ins -&gt; Solver Add-in if not visible).</t>
        </is>
      </c>
    </row>
    <row r="25">
      <c r="B25" s="12" t="inlineStr">
        <is>
          <t>Step 3: Set Objective Cell: 'Forward Pass (All Data)'!$S$28 (Total Sum of Squared Errors / SSE).</t>
        </is>
      </c>
    </row>
    <row r="26">
      <c r="B26" s="12" t="inlineStr">
        <is>
          <t>Step 4: Set To: 'Min' (Minimize error).</t>
        </is>
      </c>
    </row>
    <row r="27">
      <c r="B27" s="12" t="inlineStr">
        <is>
          <t>Step 5: By Changing Variable Cells: Select the weight cells in 'Weights &amp; Biases' ('Weights &amp; Biases'!$C$7:$E$9, $C$10:$E$10, $C$14:$E$14, $C$15).</t>
        </is>
      </c>
    </row>
    <row r="28">
      <c r="B28" s="12" t="inlineStr">
        <is>
          <t>Step 6: Select Solving Method: 'GRG Nonlinear' (Gradient descent in Excel).</t>
        </is>
      </c>
    </row>
    <row r="29">
      <c r="B29" s="12" t="inlineStr">
        <is>
          <t>Step 7: Click 'Solve'. Excel will run iterative gradient optimization directly on your spreadsheet formulas to optimize the neural network!</t>
        </is>
      </c>
    </row>
  </sheetData>
  <mergeCells count="13">
    <mergeCell ref="B29:J29"/>
    <mergeCell ref="B25:J25"/>
    <mergeCell ref="B9:E9"/>
    <mergeCell ref="G9:J9"/>
    <mergeCell ref="B3:J3"/>
    <mergeCell ref="B28:J28"/>
    <mergeCell ref="B22:J22"/>
    <mergeCell ref="B23:J23"/>
    <mergeCell ref="B26:J26"/>
    <mergeCell ref="B27:J27"/>
    <mergeCell ref="B2:J2"/>
    <mergeCell ref="B24:J24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5" customWidth="1" min="3" max="3"/>
    <col width="18" customWidth="1" min="4" max="4"/>
    <col width="12" customWidth="1" min="5" max="5"/>
    <col width="30" customWidth="1" min="6" max="6"/>
    <col width="22" customWidth="1" min="7" max="7"/>
    <col width="22" customWidth="1" min="8" max="8"/>
  </cols>
  <sheetData>
    <row r="1"/>
    <row r="2">
      <c r="B2" s="1" t="inlineStr">
        <is>
          <t>LIVE INTERACTIVE NEURAL NETWORK PREDICTOR</t>
        </is>
      </c>
    </row>
    <row r="3">
      <c r="B3" s="2" t="inlineStr">
        <is>
          <t>Enter student inputs below to calculate predicted exam score dynamically in real-time</t>
        </is>
      </c>
    </row>
    <row r="4"/>
    <row r="5">
      <c r="B5" s="13" t="inlineStr">
        <is>
          <t>STUDENT INPUT FEATURES (EDIT VALUES)</t>
        </is>
      </c>
      <c r="F5" s="13" t="inlineStr">
        <is>
          <t>STEP 2: HIDDEN LAYER EVALUATION</t>
        </is>
      </c>
    </row>
    <row r="6">
      <c r="B6" s="14" t="inlineStr">
        <is>
          <t>Study Hours (1.0 - 7.5 hrs):</t>
        </is>
      </c>
      <c r="C6" s="15" t="n">
        <v>5</v>
      </c>
      <c r="D6" s="16" t="inlineStr">
        <is>
          <t>Hours</t>
        </is>
      </c>
      <c r="F6" s="17" t="inlineStr">
        <is>
          <t>Hidden Neuron</t>
        </is>
      </c>
      <c r="G6" s="17" t="inlineStr">
        <is>
          <t>Net Input (z)</t>
        </is>
      </c>
      <c r="H6" s="17" t="inlineStr">
        <is>
          <t>Sigmoid Output (h)</t>
        </is>
      </c>
    </row>
    <row r="7">
      <c r="B7" s="14" t="inlineStr">
        <is>
          <t>Attendance Percent (55% - 96%):</t>
        </is>
      </c>
      <c r="C7" s="15" t="n">
        <v>85</v>
      </c>
      <c r="D7" s="16" t="inlineStr">
        <is>
          <t>%</t>
        </is>
      </c>
      <c r="F7" s="9" t="inlineStr">
        <is>
          <t>Hidden Neuron 1 (h1)</t>
        </is>
      </c>
      <c r="G7" s="18">
        <f>'Weights &amp; Biases'!$C$11 + ($C$11*'Weights &amp; Biases'!$C$7 + $C$12*'Weights &amp; Biases'!$C$8 + $C$13*'Weights &amp; Biases'!$C$9)</f>
        <v/>
      </c>
      <c r="H7" s="19">
        <f>1/(1+EXP(-G7))</f>
        <v/>
      </c>
    </row>
    <row r="8">
      <c r="B8" s="14" t="inlineStr">
        <is>
          <t>Previous Test Score (40 - 85):</t>
        </is>
      </c>
      <c r="C8" s="15" t="n">
        <v>68</v>
      </c>
      <c r="D8" s="16" t="inlineStr">
        <is>
          <t>Marks</t>
        </is>
      </c>
      <c r="F8" s="9" t="inlineStr">
        <is>
          <t>Hidden Neuron 2 (h2)</t>
        </is>
      </c>
      <c r="G8" s="18">
        <f>'Weights &amp; Biases'!$D$11 + ($C$11*'Weights &amp; Biases'!$D$7 + $C$12*'Weights &amp; Biases'!$D$8 + $C$13*'Weights &amp; Biases'!$D$9)</f>
        <v/>
      </c>
      <c r="H8" s="19">
        <f>1/(1+EXP(-G8))</f>
        <v/>
      </c>
    </row>
    <row r="9">
      <c r="F9" s="9" t="inlineStr">
        <is>
          <t>Hidden Neuron 3 (h3)</t>
        </is>
      </c>
      <c r="G9" s="18">
        <f>'Weights &amp; Biases'!$E$11 + ($C$11*'Weights &amp; Biases'!$E$7 + $C$12*'Weights &amp; Biases'!$E$8 + $C$13*'Weights &amp; Biases'!$E$9)</f>
        <v/>
      </c>
      <c r="H9" s="19">
        <f>1/(1+EXP(-G9))</f>
        <v/>
      </c>
    </row>
    <row r="10">
      <c r="B10" s="20" t="inlineStr">
        <is>
          <t>STEP 1: MIN-MAX NORMALIZATION</t>
        </is>
      </c>
    </row>
    <row r="11">
      <c r="B11" s="9" t="inlineStr">
        <is>
          <t>Normalized Study Hours (x1_norm):</t>
        </is>
      </c>
      <c r="C11" s="18">
        <f>(C6 - 'Overview &amp; Architecture'!$H$11) / 'Overview &amp; Architecture'!$J$11</f>
        <v/>
      </c>
      <c r="F11" s="13" t="inlineStr">
        <is>
          <t>STEP 3: OUTPUT LAYER &amp; FINAL RESULT</t>
        </is>
      </c>
    </row>
    <row r="12">
      <c r="B12" s="9" t="inlineStr">
        <is>
          <t>Normalized Attendance (x2_norm):</t>
        </is>
      </c>
      <c r="C12" s="18">
        <f>(C7 - 'Overview &amp; Architecture'!$H$12) / 'Overview &amp; Architecture'!$J$12</f>
        <v/>
      </c>
      <c r="F12" s="9" t="inlineStr">
        <is>
          <t>Output Net Input (z_out):</t>
        </is>
      </c>
      <c r="G12" s="18">
        <f>'Weights &amp; Biases'!$C$16 + (H7*'Weights &amp; Biases'!$C$14 + H8*'Weights &amp; Biases'!$D$14 + H9*'Weights &amp; Biases'!$E$14)</f>
        <v/>
      </c>
    </row>
    <row r="13">
      <c r="B13" s="9" t="inlineStr">
        <is>
          <t>Normalized Prev Score (x3_norm):</t>
        </is>
      </c>
      <c r="C13" s="18">
        <f>(C8 - 'Overview &amp; Architecture'!$H$13) / 'Overview &amp; Architecture'!$J$13</f>
        <v/>
      </c>
      <c r="F13" s="9" t="inlineStr">
        <is>
          <t>Predicted Norm Score (y_norm):</t>
        </is>
      </c>
      <c r="G13" s="18">
        <f>G12</f>
        <v/>
      </c>
    </row>
    <row r="14"/>
    <row r="15"/>
    <row r="16">
      <c r="B16" s="13" t="inlineStr">
        <is>
          <t>FINAL PREDICTED EXAM SCORE</t>
        </is>
      </c>
    </row>
    <row r="17">
      <c r="B17" s="21">
        <f>G13 * 'Overview &amp; Architecture'!$J$14 + 'Overview &amp; Architecture'!$H$14</f>
        <v/>
      </c>
    </row>
    <row r="18"/>
    <row r="19">
      <c r="B19" s="3" t="inlineStr">
        <is>
          <t>Expected Grade / Level:</t>
        </is>
      </c>
      <c r="C19" s="22">
        <f>IF(B17&gt;=85,"A+ (Exceptional)",IF(B17&gt;=80,"A (Excellent)",IF(B17&gt;=70,"B (Very Good)",IF(B17&gt;=60,"C (Good)",IF(B17&gt;=50,"D (Pass)","F (Fail)")))))</f>
        <v/>
      </c>
    </row>
  </sheetData>
  <mergeCells count="8">
    <mergeCell ref="B10:D10"/>
    <mergeCell ref="B5:D5"/>
    <mergeCell ref="F5:H5"/>
    <mergeCell ref="B2:H2"/>
    <mergeCell ref="B3:H3"/>
    <mergeCell ref="B17:D18"/>
    <mergeCell ref="F11:H11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9" customWidth="1" min="4" max="4"/>
    <col width="20" customWidth="1" min="5" max="5"/>
    <col width="78" customWidth="1" min="6" max="6"/>
    <col width="78" customWidth="1" min="7" max="7"/>
    <col width="78" customWidth="1" min="8" max="8"/>
    <col width="121" customWidth="1" min="9" max="9"/>
    <col width="20" customWidth="1" min="10" max="10"/>
    <col width="121" customWidth="1" min="11" max="11"/>
    <col width="20" customWidth="1" min="12" max="12"/>
    <col width="121" customWidth="1" min="13" max="13"/>
    <col width="36" customWidth="1" min="14" max="14"/>
    <col width="124" customWidth="1" min="15" max="15"/>
    <col width="76" customWidth="1" min="16" max="16"/>
    <col width="21" customWidth="1" min="17" max="17"/>
    <col width="13" customWidth="1" min="18" max="18"/>
    <col width="22" customWidth="1" min="19" max="19"/>
  </cols>
  <sheetData>
    <row r="1"/>
    <row r="2">
      <c r="A2" s="1" t="inlineStr">
        <is>
          <t>FULL FORWARD PROPAGATION TABLE (20 SAMPLES)</t>
        </is>
      </c>
    </row>
    <row r="3"/>
    <row r="4">
      <c r="A4" s="23" t="inlineStr">
        <is>
          <t>ID</t>
        </is>
      </c>
      <c r="B4" s="23" t="inlineStr">
        <is>
          <t>Study Hours (x1)</t>
        </is>
      </c>
      <c r="C4" s="23" t="inlineStr">
        <is>
          <t>Attendance % (x2)</t>
        </is>
      </c>
      <c r="D4" s="23" t="inlineStr">
        <is>
          <t>Prev Score (x3)</t>
        </is>
      </c>
      <c r="E4" s="23" t="inlineStr">
        <is>
          <t>Actual Score (y)</t>
        </is>
      </c>
      <c r="F4" s="23" t="inlineStr">
        <is>
          <t>Norm x1</t>
        </is>
      </c>
      <c r="G4" s="23" t="inlineStr">
        <is>
          <t>Norm x2</t>
        </is>
      </c>
      <c r="H4" s="23" t="inlineStr">
        <is>
          <t>Norm x3</t>
        </is>
      </c>
      <c r="I4" s="23" t="inlineStr">
        <is>
          <t>Net z_h1</t>
        </is>
      </c>
      <c r="J4" s="23" t="inlineStr">
        <is>
          <t>Hidden h1</t>
        </is>
      </c>
      <c r="K4" s="23" t="inlineStr">
        <is>
          <t>Net z_h2</t>
        </is>
      </c>
      <c r="L4" s="23" t="inlineStr">
        <is>
          <t>Hidden h2</t>
        </is>
      </c>
      <c r="M4" s="23" t="inlineStr">
        <is>
          <t>Net z_h3</t>
        </is>
      </c>
      <c r="N4" s="23" t="inlineStr">
        <is>
          <t>Hidden h3</t>
        </is>
      </c>
      <c r="O4" s="23" t="inlineStr">
        <is>
          <t>Net z_out</t>
        </is>
      </c>
      <c r="P4" s="23" t="inlineStr">
        <is>
          <t>Pred Score (y_hat)</t>
        </is>
      </c>
      <c r="Q4" s="23" t="inlineStr">
        <is>
          <t>Error (y - y_hat)</t>
        </is>
      </c>
      <c r="R4" s="23" t="inlineStr">
        <is>
          <t>Abs Error</t>
        </is>
      </c>
      <c r="S4" s="23" t="inlineStr">
        <is>
          <t>Squared Error (SE)</t>
        </is>
      </c>
    </row>
    <row r="5">
      <c r="A5" s="8" t="n">
        <v>1</v>
      </c>
      <c r="B5" s="8" t="n">
        <v>1</v>
      </c>
      <c r="C5" s="8" t="n">
        <v>55</v>
      </c>
      <c r="D5" s="8" t="n">
        <v>40</v>
      </c>
      <c r="E5" s="8" t="n">
        <v>38</v>
      </c>
      <c r="F5" s="18">
        <f>(B5 - 'Overview &amp; Architecture'!$H$11) / 'Overview &amp; Architecture'!$J$11</f>
        <v/>
      </c>
      <c r="G5" s="18">
        <f>(C5 - 'Overview &amp; Architecture'!$H$12) / 'Overview &amp; Architecture'!$J$12</f>
        <v/>
      </c>
      <c r="H5" s="18">
        <f>(D5 - 'Overview &amp; Architecture'!$H$13) / 'Overview &amp; Architecture'!$J$13</f>
        <v/>
      </c>
      <c r="I5" s="18">
        <f>'Weights &amp; Biases'!$C$11 + (F5*'Weights &amp; Biases'!$C$7 + G5*'Weights &amp; Biases'!$C$8 + H5*'Weights &amp; Biases'!$C$9)</f>
        <v/>
      </c>
      <c r="J5" s="18">
        <f>1/(1+EXP(-I5))</f>
        <v/>
      </c>
      <c r="K5" s="18">
        <f>'Weights &amp; Biases'!$D$11 + (F5*'Weights &amp; Biases'!$D$7 + G5*'Weights &amp; Biases'!$D$8 + H5*'Weights &amp; Biases'!$D$9)</f>
        <v/>
      </c>
      <c r="L5" s="18">
        <f>1/(1+EXP(-K5))</f>
        <v/>
      </c>
      <c r="M5" s="18">
        <f>'Weights &amp; Biases'!$E$11 + (F5*'Weights &amp; Biases'!$E$7 + G5*'Weights &amp; Biases'!$E$8 + H5*'Weights &amp; Biases'!$E$9)</f>
        <v/>
      </c>
      <c r="N5" s="18">
        <f>1/(1+EXP(-M5))</f>
        <v/>
      </c>
      <c r="O5" s="18">
        <f>'Weights &amp; Biases'!$C$16 + (J5*'Weights &amp; Biases'!$C$14 + L5*'Weights &amp; Biases'!$D$14 + N5*'Weights &amp; Biases'!$E$14)</f>
        <v/>
      </c>
      <c r="P5" s="24">
        <f>O5 * 'Overview &amp; Architecture'!$J$14 + 'Overview &amp; Architecture'!$H$14</f>
        <v/>
      </c>
      <c r="Q5" s="24">
        <f>E5 - P5</f>
        <v/>
      </c>
      <c r="R5" s="24">
        <f>ABS(Q5)</f>
        <v/>
      </c>
      <c r="S5" s="24">
        <f>Q5^2</f>
        <v/>
      </c>
    </row>
    <row r="6">
      <c r="A6" s="8" t="n">
        <v>2</v>
      </c>
      <c r="B6" s="8" t="n">
        <v>2</v>
      </c>
      <c r="C6" s="8" t="n">
        <v>60</v>
      </c>
      <c r="D6" s="8" t="n">
        <v>45</v>
      </c>
      <c r="E6" s="8" t="n">
        <v>43</v>
      </c>
      <c r="F6" s="18">
        <f>(B6 - 'Overview &amp; Architecture'!$H$11) / 'Overview &amp; Architecture'!$J$11</f>
        <v/>
      </c>
      <c r="G6" s="18">
        <f>(C6 - 'Overview &amp; Architecture'!$H$12) / 'Overview &amp; Architecture'!$J$12</f>
        <v/>
      </c>
      <c r="H6" s="18">
        <f>(D6 - 'Overview &amp; Architecture'!$H$13) / 'Overview &amp; Architecture'!$J$13</f>
        <v/>
      </c>
      <c r="I6" s="18">
        <f>'Weights &amp; Biases'!$C$11 + (F6*'Weights &amp; Biases'!$C$7 + G6*'Weights &amp; Biases'!$C$8 + H6*'Weights &amp; Biases'!$C$9)</f>
        <v/>
      </c>
      <c r="J6" s="18">
        <f>1/(1+EXP(-I6))</f>
        <v/>
      </c>
      <c r="K6" s="18">
        <f>'Weights &amp; Biases'!$D$11 + (F6*'Weights &amp; Biases'!$D$7 + G6*'Weights &amp; Biases'!$D$8 + H6*'Weights &amp; Biases'!$D$9)</f>
        <v/>
      </c>
      <c r="L6" s="18">
        <f>1/(1+EXP(-K6))</f>
        <v/>
      </c>
      <c r="M6" s="18">
        <f>'Weights &amp; Biases'!$E$11 + (F6*'Weights &amp; Biases'!$E$7 + G6*'Weights &amp; Biases'!$E$8 + H6*'Weights &amp; Biases'!$E$9)</f>
        <v/>
      </c>
      <c r="N6" s="18">
        <f>1/(1+EXP(-M6))</f>
        <v/>
      </c>
      <c r="O6" s="18">
        <f>'Weights &amp; Biases'!$C$16 + (J6*'Weights &amp; Biases'!$C$14 + L6*'Weights &amp; Biases'!$D$14 + N6*'Weights &amp; Biases'!$E$14)</f>
        <v/>
      </c>
      <c r="P6" s="24">
        <f>O6 * 'Overview &amp; Architecture'!$J$14 + 'Overview &amp; Architecture'!$H$14</f>
        <v/>
      </c>
      <c r="Q6" s="24">
        <f>E6 - P6</f>
        <v/>
      </c>
      <c r="R6" s="24">
        <f>ABS(Q6)</f>
        <v/>
      </c>
      <c r="S6" s="24">
        <f>Q6^2</f>
        <v/>
      </c>
    </row>
    <row r="7">
      <c r="A7" s="8" t="n">
        <v>3</v>
      </c>
      <c r="B7" s="8" t="n">
        <v>2.5</v>
      </c>
      <c r="C7" s="8" t="n">
        <v>65</v>
      </c>
      <c r="D7" s="8" t="n">
        <v>48</v>
      </c>
      <c r="E7" s="8" t="n">
        <v>46</v>
      </c>
      <c r="F7" s="18">
        <f>(B7 - 'Overview &amp; Architecture'!$H$11) / 'Overview &amp; Architecture'!$J$11</f>
        <v/>
      </c>
      <c r="G7" s="18">
        <f>(C7 - 'Overview &amp; Architecture'!$H$12) / 'Overview &amp; Architecture'!$J$12</f>
        <v/>
      </c>
      <c r="H7" s="18">
        <f>(D7 - 'Overview &amp; Architecture'!$H$13) / 'Overview &amp; Architecture'!$J$13</f>
        <v/>
      </c>
      <c r="I7" s="18">
        <f>'Weights &amp; Biases'!$C$11 + (F7*'Weights &amp; Biases'!$C$7 + G7*'Weights &amp; Biases'!$C$8 + H7*'Weights &amp; Biases'!$C$9)</f>
        <v/>
      </c>
      <c r="J7" s="18">
        <f>1/(1+EXP(-I7))</f>
        <v/>
      </c>
      <c r="K7" s="18">
        <f>'Weights &amp; Biases'!$D$11 + (F7*'Weights &amp; Biases'!$D$7 + G7*'Weights &amp; Biases'!$D$8 + H7*'Weights &amp; Biases'!$D$9)</f>
        <v/>
      </c>
      <c r="L7" s="18">
        <f>1/(1+EXP(-K7))</f>
        <v/>
      </c>
      <c r="M7" s="18">
        <f>'Weights &amp; Biases'!$E$11 + (F7*'Weights &amp; Biases'!$E$7 + G7*'Weights &amp; Biases'!$E$8 + H7*'Weights &amp; Biases'!$E$9)</f>
        <v/>
      </c>
      <c r="N7" s="18">
        <f>1/(1+EXP(-M7))</f>
        <v/>
      </c>
      <c r="O7" s="18">
        <f>'Weights &amp; Biases'!$C$16 + (J7*'Weights &amp; Biases'!$C$14 + L7*'Weights &amp; Biases'!$D$14 + N7*'Weights &amp; Biases'!$E$14)</f>
        <v/>
      </c>
      <c r="P7" s="24">
        <f>O7 * 'Overview &amp; Architecture'!$J$14 + 'Overview &amp; Architecture'!$H$14</f>
        <v/>
      </c>
      <c r="Q7" s="24">
        <f>E7 - P7</f>
        <v/>
      </c>
      <c r="R7" s="24">
        <f>ABS(Q7)</f>
        <v/>
      </c>
      <c r="S7" s="24">
        <f>Q7^2</f>
        <v/>
      </c>
    </row>
    <row r="8">
      <c r="A8" s="8" t="n">
        <v>4</v>
      </c>
      <c r="B8" s="8" t="n">
        <v>3</v>
      </c>
      <c r="C8" s="8" t="n">
        <v>68</v>
      </c>
      <c r="D8" s="8" t="n">
        <v>52</v>
      </c>
      <c r="E8" s="8" t="n">
        <v>50</v>
      </c>
      <c r="F8" s="18">
        <f>(B8 - 'Overview &amp; Architecture'!$H$11) / 'Overview &amp; Architecture'!$J$11</f>
        <v/>
      </c>
      <c r="G8" s="18">
        <f>(C8 - 'Overview &amp; Architecture'!$H$12) / 'Overview &amp; Architecture'!$J$12</f>
        <v/>
      </c>
      <c r="H8" s="18">
        <f>(D8 - 'Overview &amp; Architecture'!$H$13) / 'Overview &amp; Architecture'!$J$13</f>
        <v/>
      </c>
      <c r="I8" s="18">
        <f>'Weights &amp; Biases'!$C$11 + (F8*'Weights &amp; Biases'!$C$7 + G8*'Weights &amp; Biases'!$C$8 + H8*'Weights &amp; Biases'!$C$9)</f>
        <v/>
      </c>
      <c r="J8" s="18">
        <f>1/(1+EXP(-I8))</f>
        <v/>
      </c>
      <c r="K8" s="18">
        <f>'Weights &amp; Biases'!$D$11 + (F8*'Weights &amp; Biases'!$D$7 + G8*'Weights &amp; Biases'!$D$8 + H8*'Weights &amp; Biases'!$D$9)</f>
        <v/>
      </c>
      <c r="L8" s="18">
        <f>1/(1+EXP(-K8))</f>
        <v/>
      </c>
      <c r="M8" s="18">
        <f>'Weights &amp; Biases'!$E$11 + (F8*'Weights &amp; Biases'!$E$7 + G8*'Weights &amp; Biases'!$E$8 + H8*'Weights &amp; Biases'!$E$9)</f>
        <v/>
      </c>
      <c r="N8" s="18">
        <f>1/(1+EXP(-M8))</f>
        <v/>
      </c>
      <c r="O8" s="18">
        <f>'Weights &amp; Biases'!$C$16 + (J8*'Weights &amp; Biases'!$C$14 + L8*'Weights &amp; Biases'!$D$14 + N8*'Weights &amp; Biases'!$E$14)</f>
        <v/>
      </c>
      <c r="P8" s="24">
        <f>O8 * 'Overview &amp; Architecture'!$J$14 + 'Overview &amp; Architecture'!$H$14</f>
        <v/>
      </c>
      <c r="Q8" s="24">
        <f>E8 - P8</f>
        <v/>
      </c>
      <c r="R8" s="24">
        <f>ABS(Q8)</f>
        <v/>
      </c>
      <c r="S8" s="24">
        <f>Q8^2</f>
        <v/>
      </c>
    </row>
    <row r="9">
      <c r="A9" s="8" t="n">
        <v>5</v>
      </c>
      <c r="B9" s="8" t="n">
        <v>3.5</v>
      </c>
      <c r="C9" s="8" t="n">
        <v>70</v>
      </c>
      <c r="D9" s="8" t="n">
        <v>55</v>
      </c>
      <c r="E9" s="8" t="n">
        <v>53</v>
      </c>
      <c r="F9" s="18">
        <f>(B9 - 'Overview &amp; Architecture'!$H$11) / 'Overview &amp; Architecture'!$J$11</f>
        <v/>
      </c>
      <c r="G9" s="18">
        <f>(C9 - 'Overview &amp; Architecture'!$H$12) / 'Overview &amp; Architecture'!$J$12</f>
        <v/>
      </c>
      <c r="H9" s="18">
        <f>(D9 - 'Overview &amp; Architecture'!$H$13) / 'Overview &amp; Architecture'!$J$13</f>
        <v/>
      </c>
      <c r="I9" s="18">
        <f>'Weights &amp; Biases'!$C$11 + (F9*'Weights &amp; Biases'!$C$7 + G9*'Weights &amp; Biases'!$C$8 + H9*'Weights &amp; Biases'!$C$9)</f>
        <v/>
      </c>
      <c r="J9" s="18">
        <f>1/(1+EXP(-I9))</f>
        <v/>
      </c>
      <c r="K9" s="18">
        <f>'Weights &amp; Biases'!$D$11 + (F9*'Weights &amp; Biases'!$D$7 + G9*'Weights &amp; Biases'!$D$8 + H9*'Weights &amp; Biases'!$D$9)</f>
        <v/>
      </c>
      <c r="L9" s="18">
        <f>1/(1+EXP(-K9))</f>
        <v/>
      </c>
      <c r="M9" s="18">
        <f>'Weights &amp; Biases'!$E$11 + (F9*'Weights &amp; Biases'!$E$7 + G9*'Weights &amp; Biases'!$E$8 + H9*'Weights &amp; Biases'!$E$9)</f>
        <v/>
      </c>
      <c r="N9" s="18">
        <f>1/(1+EXP(-M9))</f>
        <v/>
      </c>
      <c r="O9" s="18">
        <f>'Weights &amp; Biases'!$C$16 + (J9*'Weights &amp; Biases'!$C$14 + L9*'Weights &amp; Biases'!$D$14 + N9*'Weights &amp; Biases'!$E$14)</f>
        <v/>
      </c>
      <c r="P9" s="24">
        <f>O9 * 'Overview &amp; Architecture'!$J$14 + 'Overview &amp; Architecture'!$H$14</f>
        <v/>
      </c>
      <c r="Q9" s="24">
        <f>E9 - P9</f>
        <v/>
      </c>
      <c r="R9" s="24">
        <f>ABS(Q9)</f>
        <v/>
      </c>
      <c r="S9" s="24">
        <f>Q9^2</f>
        <v/>
      </c>
    </row>
    <row r="10">
      <c r="A10" s="8" t="n">
        <v>6</v>
      </c>
      <c r="B10" s="8" t="n">
        <v>4</v>
      </c>
      <c r="C10" s="8" t="n">
        <v>75</v>
      </c>
      <c r="D10" s="8" t="n">
        <v>58</v>
      </c>
      <c r="E10" s="8" t="n">
        <v>57</v>
      </c>
      <c r="F10" s="18">
        <f>(B10 - 'Overview &amp; Architecture'!$H$11) / 'Overview &amp; Architecture'!$J$11</f>
        <v/>
      </c>
      <c r="G10" s="18">
        <f>(C10 - 'Overview &amp; Architecture'!$H$12) / 'Overview &amp; Architecture'!$J$12</f>
        <v/>
      </c>
      <c r="H10" s="18">
        <f>(D10 - 'Overview &amp; Architecture'!$H$13) / 'Overview &amp; Architecture'!$J$13</f>
        <v/>
      </c>
      <c r="I10" s="18">
        <f>'Weights &amp; Biases'!$C$11 + (F10*'Weights &amp; Biases'!$C$7 + G10*'Weights &amp; Biases'!$C$8 + H10*'Weights &amp; Biases'!$C$9)</f>
        <v/>
      </c>
      <c r="J10" s="18">
        <f>1/(1+EXP(-I10))</f>
        <v/>
      </c>
      <c r="K10" s="18">
        <f>'Weights &amp; Biases'!$D$11 + (F10*'Weights &amp; Biases'!$D$7 + G10*'Weights &amp; Biases'!$D$8 + H10*'Weights &amp; Biases'!$D$9)</f>
        <v/>
      </c>
      <c r="L10" s="18">
        <f>1/(1+EXP(-K10))</f>
        <v/>
      </c>
      <c r="M10" s="18">
        <f>'Weights &amp; Biases'!$E$11 + (F10*'Weights &amp; Biases'!$E$7 + G10*'Weights &amp; Biases'!$E$8 + H10*'Weights &amp; Biases'!$E$9)</f>
        <v/>
      </c>
      <c r="N10" s="18">
        <f>1/(1+EXP(-M10))</f>
        <v/>
      </c>
      <c r="O10" s="18">
        <f>'Weights &amp; Biases'!$C$16 + (J10*'Weights &amp; Biases'!$C$14 + L10*'Weights &amp; Biases'!$D$14 + N10*'Weights &amp; Biases'!$E$14)</f>
        <v/>
      </c>
      <c r="P10" s="24">
        <f>O10 * 'Overview &amp; Architecture'!$J$14 + 'Overview &amp; Architecture'!$H$14</f>
        <v/>
      </c>
      <c r="Q10" s="24">
        <f>E10 - P10</f>
        <v/>
      </c>
      <c r="R10" s="24">
        <f>ABS(Q10)</f>
        <v/>
      </c>
      <c r="S10" s="24">
        <f>Q10^2</f>
        <v/>
      </c>
    </row>
    <row r="11">
      <c r="A11" s="8" t="n">
        <v>7</v>
      </c>
      <c r="B11" s="8" t="n">
        <v>4.5</v>
      </c>
      <c r="C11" s="8" t="n">
        <v>78</v>
      </c>
      <c r="D11" s="8" t="n">
        <v>62</v>
      </c>
      <c r="E11" s="8" t="n">
        <v>61</v>
      </c>
      <c r="F11" s="18">
        <f>(B11 - 'Overview &amp; Architecture'!$H$11) / 'Overview &amp; Architecture'!$J$11</f>
        <v/>
      </c>
      <c r="G11" s="18">
        <f>(C11 - 'Overview &amp; Architecture'!$H$12) / 'Overview &amp; Architecture'!$J$12</f>
        <v/>
      </c>
      <c r="H11" s="18">
        <f>(D11 - 'Overview &amp; Architecture'!$H$13) / 'Overview &amp; Architecture'!$J$13</f>
        <v/>
      </c>
      <c r="I11" s="18">
        <f>'Weights &amp; Biases'!$C$11 + (F11*'Weights &amp; Biases'!$C$7 + G11*'Weights &amp; Biases'!$C$8 + H11*'Weights &amp; Biases'!$C$9)</f>
        <v/>
      </c>
      <c r="J11" s="18">
        <f>1/(1+EXP(-I11))</f>
        <v/>
      </c>
      <c r="K11" s="18">
        <f>'Weights &amp; Biases'!$D$11 + (F11*'Weights &amp; Biases'!$D$7 + G11*'Weights &amp; Biases'!$D$8 + H11*'Weights &amp; Biases'!$D$9)</f>
        <v/>
      </c>
      <c r="L11" s="18">
        <f>1/(1+EXP(-K11))</f>
        <v/>
      </c>
      <c r="M11" s="18">
        <f>'Weights &amp; Biases'!$E$11 + (F11*'Weights &amp; Biases'!$E$7 + G11*'Weights &amp; Biases'!$E$8 + H11*'Weights &amp; Biases'!$E$9)</f>
        <v/>
      </c>
      <c r="N11" s="18">
        <f>1/(1+EXP(-M11))</f>
        <v/>
      </c>
      <c r="O11" s="18">
        <f>'Weights &amp; Biases'!$C$16 + (J11*'Weights &amp; Biases'!$C$14 + L11*'Weights &amp; Biases'!$D$14 + N11*'Weights &amp; Biases'!$E$14)</f>
        <v/>
      </c>
      <c r="P11" s="24">
        <f>O11 * 'Overview &amp; Architecture'!$J$14 + 'Overview &amp; Architecture'!$H$14</f>
        <v/>
      </c>
      <c r="Q11" s="24">
        <f>E11 - P11</f>
        <v/>
      </c>
      <c r="R11" s="24">
        <f>ABS(Q11)</f>
        <v/>
      </c>
      <c r="S11" s="24">
        <f>Q11^2</f>
        <v/>
      </c>
    </row>
    <row r="12">
      <c r="A12" s="8" t="n">
        <v>8</v>
      </c>
      <c r="B12" s="8" t="n">
        <v>5</v>
      </c>
      <c r="C12" s="8" t="n">
        <v>82</v>
      </c>
      <c r="D12" s="8" t="n">
        <v>65</v>
      </c>
      <c r="E12" s="8" t="n">
        <v>66</v>
      </c>
      <c r="F12" s="18">
        <f>(B12 - 'Overview &amp; Architecture'!$H$11) / 'Overview &amp; Architecture'!$J$11</f>
        <v/>
      </c>
      <c r="G12" s="18">
        <f>(C12 - 'Overview &amp; Architecture'!$H$12) / 'Overview &amp; Architecture'!$J$12</f>
        <v/>
      </c>
      <c r="H12" s="18">
        <f>(D12 - 'Overview &amp; Architecture'!$H$13) / 'Overview &amp; Architecture'!$J$13</f>
        <v/>
      </c>
      <c r="I12" s="18">
        <f>'Weights &amp; Biases'!$C$11 + (F12*'Weights &amp; Biases'!$C$7 + G12*'Weights &amp; Biases'!$C$8 + H12*'Weights &amp; Biases'!$C$9)</f>
        <v/>
      </c>
      <c r="J12" s="18">
        <f>1/(1+EXP(-I12))</f>
        <v/>
      </c>
      <c r="K12" s="18">
        <f>'Weights &amp; Biases'!$D$11 + (F12*'Weights &amp; Biases'!$D$7 + G12*'Weights &amp; Biases'!$D$8 + H12*'Weights &amp; Biases'!$D$9)</f>
        <v/>
      </c>
      <c r="L12" s="18">
        <f>1/(1+EXP(-K12))</f>
        <v/>
      </c>
      <c r="M12" s="18">
        <f>'Weights &amp; Biases'!$E$11 + (F12*'Weights &amp; Biases'!$E$7 + G12*'Weights &amp; Biases'!$E$8 + H12*'Weights &amp; Biases'!$E$9)</f>
        <v/>
      </c>
      <c r="N12" s="18">
        <f>1/(1+EXP(-M12))</f>
        <v/>
      </c>
      <c r="O12" s="18">
        <f>'Weights &amp; Biases'!$C$16 + (J12*'Weights &amp; Biases'!$C$14 + L12*'Weights &amp; Biases'!$D$14 + N12*'Weights &amp; Biases'!$E$14)</f>
        <v/>
      </c>
      <c r="P12" s="24">
        <f>O12 * 'Overview &amp; Architecture'!$J$14 + 'Overview &amp; Architecture'!$H$14</f>
        <v/>
      </c>
      <c r="Q12" s="24">
        <f>E12 - P12</f>
        <v/>
      </c>
      <c r="R12" s="24">
        <f>ABS(Q12)</f>
        <v/>
      </c>
      <c r="S12" s="24">
        <f>Q12^2</f>
        <v/>
      </c>
    </row>
    <row r="13">
      <c r="A13" s="8" t="n">
        <v>9</v>
      </c>
      <c r="B13" s="8" t="n">
        <v>5.5</v>
      </c>
      <c r="C13" s="8" t="n">
        <v>85</v>
      </c>
      <c r="D13" s="8" t="n">
        <v>68</v>
      </c>
      <c r="E13" s="8" t="n">
        <v>69</v>
      </c>
      <c r="F13" s="18">
        <f>(B13 - 'Overview &amp; Architecture'!$H$11) / 'Overview &amp; Architecture'!$J$11</f>
        <v/>
      </c>
      <c r="G13" s="18">
        <f>(C13 - 'Overview &amp; Architecture'!$H$12) / 'Overview &amp; Architecture'!$J$12</f>
        <v/>
      </c>
      <c r="H13" s="18">
        <f>(D13 - 'Overview &amp; Architecture'!$H$13) / 'Overview &amp; Architecture'!$J$13</f>
        <v/>
      </c>
      <c r="I13" s="18">
        <f>'Weights &amp; Biases'!$C$11 + (F13*'Weights &amp; Biases'!$C$7 + G13*'Weights &amp; Biases'!$C$8 + H13*'Weights &amp; Biases'!$C$9)</f>
        <v/>
      </c>
      <c r="J13" s="18">
        <f>1/(1+EXP(-I13))</f>
        <v/>
      </c>
      <c r="K13" s="18">
        <f>'Weights &amp; Biases'!$D$11 + (F13*'Weights &amp; Biases'!$D$7 + G13*'Weights &amp; Biases'!$D$8 + H13*'Weights &amp; Biases'!$D$9)</f>
        <v/>
      </c>
      <c r="L13" s="18">
        <f>1/(1+EXP(-K13))</f>
        <v/>
      </c>
      <c r="M13" s="18">
        <f>'Weights &amp; Biases'!$E$11 + (F13*'Weights &amp; Biases'!$E$7 + G13*'Weights &amp; Biases'!$E$8 + H13*'Weights &amp; Biases'!$E$9)</f>
        <v/>
      </c>
      <c r="N13" s="18">
        <f>1/(1+EXP(-M13))</f>
        <v/>
      </c>
      <c r="O13" s="18">
        <f>'Weights &amp; Biases'!$C$16 + (J13*'Weights &amp; Biases'!$C$14 + L13*'Weights &amp; Biases'!$D$14 + N13*'Weights &amp; Biases'!$E$14)</f>
        <v/>
      </c>
      <c r="P13" s="24">
        <f>O13 * 'Overview &amp; Architecture'!$J$14 + 'Overview &amp; Architecture'!$H$14</f>
        <v/>
      </c>
      <c r="Q13" s="24">
        <f>E13 - P13</f>
        <v/>
      </c>
      <c r="R13" s="24">
        <f>ABS(Q13)</f>
        <v/>
      </c>
      <c r="S13" s="24">
        <f>Q13^2</f>
        <v/>
      </c>
    </row>
    <row r="14">
      <c r="A14" s="8" t="n">
        <v>10</v>
      </c>
      <c r="B14" s="8" t="n">
        <v>6</v>
      </c>
      <c r="C14" s="8" t="n">
        <v>88</v>
      </c>
      <c r="D14" s="8" t="n">
        <v>72</v>
      </c>
      <c r="E14" s="8" t="n">
        <v>73</v>
      </c>
      <c r="F14" s="18">
        <f>(B14 - 'Overview &amp; Architecture'!$H$11) / 'Overview &amp; Architecture'!$J$11</f>
        <v/>
      </c>
      <c r="G14" s="18">
        <f>(C14 - 'Overview &amp; Architecture'!$H$12) / 'Overview &amp; Architecture'!$J$12</f>
        <v/>
      </c>
      <c r="H14" s="18">
        <f>(D14 - 'Overview &amp; Architecture'!$H$13) / 'Overview &amp; Architecture'!$J$13</f>
        <v/>
      </c>
      <c r="I14" s="18">
        <f>'Weights &amp; Biases'!$C$11 + (F14*'Weights &amp; Biases'!$C$7 + G14*'Weights &amp; Biases'!$C$8 + H14*'Weights &amp; Biases'!$C$9)</f>
        <v/>
      </c>
      <c r="J14" s="18">
        <f>1/(1+EXP(-I14))</f>
        <v/>
      </c>
      <c r="K14" s="18">
        <f>'Weights &amp; Biases'!$D$11 + (F14*'Weights &amp; Biases'!$D$7 + G14*'Weights &amp; Biases'!$D$8 + H14*'Weights &amp; Biases'!$D$9)</f>
        <v/>
      </c>
      <c r="L14" s="18">
        <f>1/(1+EXP(-K14))</f>
        <v/>
      </c>
      <c r="M14" s="18">
        <f>'Weights &amp; Biases'!$E$11 + (F14*'Weights &amp; Biases'!$E$7 + G14*'Weights &amp; Biases'!$E$8 + H14*'Weights &amp; Biases'!$E$9)</f>
        <v/>
      </c>
      <c r="N14" s="18">
        <f>1/(1+EXP(-M14))</f>
        <v/>
      </c>
      <c r="O14" s="18">
        <f>'Weights &amp; Biases'!$C$16 + (J14*'Weights &amp; Biases'!$C$14 + L14*'Weights &amp; Biases'!$D$14 + N14*'Weights &amp; Biases'!$E$14)</f>
        <v/>
      </c>
      <c r="P14" s="24">
        <f>O14 * 'Overview &amp; Architecture'!$J$14 + 'Overview &amp; Architecture'!$H$14</f>
        <v/>
      </c>
      <c r="Q14" s="24">
        <f>E14 - P14</f>
        <v/>
      </c>
      <c r="R14" s="24">
        <f>ABS(Q14)</f>
        <v/>
      </c>
      <c r="S14" s="24">
        <f>Q14^2</f>
        <v/>
      </c>
    </row>
    <row r="15">
      <c r="A15" s="8" t="n">
        <v>11</v>
      </c>
      <c r="B15" s="8" t="n">
        <v>6.5</v>
      </c>
      <c r="C15" s="8" t="n">
        <v>90</v>
      </c>
      <c r="D15" s="8" t="n">
        <v>75</v>
      </c>
      <c r="E15" s="8" t="n">
        <v>77</v>
      </c>
      <c r="F15" s="18">
        <f>(B15 - 'Overview &amp; Architecture'!$H$11) / 'Overview &amp; Architecture'!$J$11</f>
        <v/>
      </c>
      <c r="G15" s="18">
        <f>(C15 - 'Overview &amp; Architecture'!$H$12) / 'Overview &amp; Architecture'!$J$12</f>
        <v/>
      </c>
      <c r="H15" s="18">
        <f>(D15 - 'Overview &amp; Architecture'!$H$13) / 'Overview &amp; Architecture'!$J$13</f>
        <v/>
      </c>
      <c r="I15" s="18">
        <f>'Weights &amp; Biases'!$C$11 + (F15*'Weights &amp; Biases'!$C$7 + G15*'Weights &amp; Biases'!$C$8 + H15*'Weights &amp; Biases'!$C$9)</f>
        <v/>
      </c>
      <c r="J15" s="18">
        <f>1/(1+EXP(-I15))</f>
        <v/>
      </c>
      <c r="K15" s="18">
        <f>'Weights &amp; Biases'!$D$11 + (F15*'Weights &amp; Biases'!$D$7 + G15*'Weights &amp; Biases'!$D$8 + H15*'Weights &amp; Biases'!$D$9)</f>
        <v/>
      </c>
      <c r="L15" s="18">
        <f>1/(1+EXP(-K15))</f>
        <v/>
      </c>
      <c r="M15" s="18">
        <f>'Weights &amp; Biases'!$E$11 + (F15*'Weights &amp; Biases'!$E$7 + G15*'Weights &amp; Biases'!$E$8 + H15*'Weights &amp; Biases'!$E$9)</f>
        <v/>
      </c>
      <c r="N15" s="18">
        <f>1/(1+EXP(-M15))</f>
        <v/>
      </c>
      <c r="O15" s="18">
        <f>'Weights &amp; Biases'!$C$16 + (J15*'Weights &amp; Biases'!$C$14 + L15*'Weights &amp; Biases'!$D$14 + N15*'Weights &amp; Biases'!$E$14)</f>
        <v/>
      </c>
      <c r="P15" s="24">
        <f>O15 * 'Overview &amp; Architecture'!$J$14 + 'Overview &amp; Architecture'!$H$14</f>
        <v/>
      </c>
      <c r="Q15" s="24">
        <f>E15 - P15</f>
        <v/>
      </c>
      <c r="R15" s="24">
        <f>ABS(Q15)</f>
        <v/>
      </c>
      <c r="S15" s="24">
        <f>Q15^2</f>
        <v/>
      </c>
    </row>
    <row r="16">
      <c r="A16" s="8" t="n">
        <v>12</v>
      </c>
      <c r="B16" s="8" t="n">
        <v>7</v>
      </c>
      <c r="C16" s="8" t="n">
        <v>95</v>
      </c>
      <c r="D16" s="8" t="n">
        <v>80</v>
      </c>
      <c r="E16" s="8" t="n">
        <v>84</v>
      </c>
      <c r="F16" s="18">
        <f>(B16 - 'Overview &amp; Architecture'!$H$11) / 'Overview &amp; Architecture'!$J$11</f>
        <v/>
      </c>
      <c r="G16" s="18">
        <f>(C16 - 'Overview &amp; Architecture'!$H$12) / 'Overview &amp; Architecture'!$J$12</f>
        <v/>
      </c>
      <c r="H16" s="18">
        <f>(D16 - 'Overview &amp; Architecture'!$H$13) / 'Overview &amp; Architecture'!$J$13</f>
        <v/>
      </c>
      <c r="I16" s="18">
        <f>'Weights &amp; Biases'!$C$11 + (F16*'Weights &amp; Biases'!$C$7 + G16*'Weights &amp; Biases'!$C$8 + H16*'Weights &amp; Biases'!$C$9)</f>
        <v/>
      </c>
      <c r="J16" s="18">
        <f>1/(1+EXP(-I16))</f>
        <v/>
      </c>
      <c r="K16" s="18">
        <f>'Weights &amp; Biases'!$D$11 + (F16*'Weights &amp; Biases'!$D$7 + G16*'Weights &amp; Biases'!$D$8 + H16*'Weights &amp; Biases'!$D$9)</f>
        <v/>
      </c>
      <c r="L16" s="18">
        <f>1/(1+EXP(-K16))</f>
        <v/>
      </c>
      <c r="M16" s="18">
        <f>'Weights &amp; Biases'!$E$11 + (F16*'Weights &amp; Biases'!$E$7 + G16*'Weights &amp; Biases'!$E$8 + H16*'Weights &amp; Biases'!$E$9)</f>
        <v/>
      </c>
      <c r="N16" s="18">
        <f>1/(1+EXP(-M16))</f>
        <v/>
      </c>
      <c r="O16" s="18">
        <f>'Weights &amp; Biases'!$C$16 + (J16*'Weights &amp; Biases'!$C$14 + L16*'Weights &amp; Biases'!$D$14 + N16*'Weights &amp; Biases'!$E$14)</f>
        <v/>
      </c>
      <c r="P16" s="24">
        <f>O16 * 'Overview &amp; Architecture'!$J$14 + 'Overview &amp; Architecture'!$H$14</f>
        <v/>
      </c>
      <c r="Q16" s="24">
        <f>E16 - P16</f>
        <v/>
      </c>
      <c r="R16" s="24">
        <f>ABS(Q16)</f>
        <v/>
      </c>
      <c r="S16" s="24">
        <f>Q16^2</f>
        <v/>
      </c>
    </row>
    <row r="17">
      <c r="A17" s="8" t="n">
        <v>13</v>
      </c>
      <c r="B17" s="8" t="n">
        <v>1.5</v>
      </c>
      <c r="C17" s="8" t="n">
        <v>58</v>
      </c>
      <c r="D17" s="8" t="n">
        <v>42</v>
      </c>
      <c r="E17" s="8" t="n">
        <v>40</v>
      </c>
      <c r="F17" s="18">
        <f>(B17 - 'Overview &amp; Architecture'!$H$11) / 'Overview &amp; Architecture'!$J$11</f>
        <v/>
      </c>
      <c r="G17" s="18">
        <f>(C17 - 'Overview &amp; Architecture'!$H$12) / 'Overview &amp; Architecture'!$J$12</f>
        <v/>
      </c>
      <c r="H17" s="18">
        <f>(D17 - 'Overview &amp; Architecture'!$H$13) / 'Overview &amp; Architecture'!$J$13</f>
        <v/>
      </c>
      <c r="I17" s="18">
        <f>'Weights &amp; Biases'!$C$11 + (F17*'Weights &amp; Biases'!$C$7 + G17*'Weights &amp; Biases'!$C$8 + H17*'Weights &amp; Biases'!$C$9)</f>
        <v/>
      </c>
      <c r="J17" s="18">
        <f>1/(1+EXP(-I17))</f>
        <v/>
      </c>
      <c r="K17" s="18">
        <f>'Weights &amp; Biases'!$D$11 + (F17*'Weights &amp; Biases'!$D$7 + G17*'Weights &amp; Biases'!$D$8 + H17*'Weights &amp; Biases'!$D$9)</f>
        <v/>
      </c>
      <c r="L17" s="18">
        <f>1/(1+EXP(-K17))</f>
        <v/>
      </c>
      <c r="M17" s="18">
        <f>'Weights &amp; Biases'!$E$11 + (F17*'Weights &amp; Biases'!$E$7 + G17*'Weights &amp; Biases'!$E$8 + H17*'Weights &amp; Biases'!$E$9)</f>
        <v/>
      </c>
      <c r="N17" s="18">
        <f>1/(1+EXP(-M17))</f>
        <v/>
      </c>
      <c r="O17" s="18">
        <f>'Weights &amp; Biases'!$C$16 + (J17*'Weights &amp; Biases'!$C$14 + L17*'Weights &amp; Biases'!$D$14 + N17*'Weights &amp; Biases'!$E$14)</f>
        <v/>
      </c>
      <c r="P17" s="24">
        <f>O17 * 'Overview &amp; Architecture'!$J$14 + 'Overview &amp; Architecture'!$H$14</f>
        <v/>
      </c>
      <c r="Q17" s="24">
        <f>E17 - P17</f>
        <v/>
      </c>
      <c r="R17" s="24">
        <f>ABS(Q17)</f>
        <v/>
      </c>
      <c r="S17" s="24">
        <f>Q17^2</f>
        <v/>
      </c>
    </row>
    <row r="18">
      <c r="A18" s="8" t="n">
        <v>14</v>
      </c>
      <c r="B18" s="8" t="n">
        <v>3.2</v>
      </c>
      <c r="C18" s="8" t="n">
        <v>72</v>
      </c>
      <c r="D18" s="8" t="n">
        <v>54</v>
      </c>
      <c r="E18" s="8" t="n">
        <v>52</v>
      </c>
      <c r="F18" s="18">
        <f>(B18 - 'Overview &amp; Architecture'!$H$11) / 'Overview &amp; Architecture'!$J$11</f>
        <v/>
      </c>
      <c r="G18" s="18">
        <f>(C18 - 'Overview &amp; Architecture'!$H$12) / 'Overview &amp; Architecture'!$J$12</f>
        <v/>
      </c>
      <c r="H18" s="18">
        <f>(D18 - 'Overview &amp; Architecture'!$H$13) / 'Overview &amp; Architecture'!$J$13</f>
        <v/>
      </c>
      <c r="I18" s="18">
        <f>'Weights &amp; Biases'!$C$11 + (F18*'Weights &amp; Biases'!$C$7 + G18*'Weights &amp; Biases'!$C$8 + H18*'Weights &amp; Biases'!$C$9)</f>
        <v/>
      </c>
      <c r="J18" s="18">
        <f>1/(1+EXP(-I18))</f>
        <v/>
      </c>
      <c r="K18" s="18">
        <f>'Weights &amp; Biases'!$D$11 + (F18*'Weights &amp; Biases'!$D$7 + G18*'Weights &amp; Biases'!$D$8 + H18*'Weights &amp; Biases'!$D$9)</f>
        <v/>
      </c>
      <c r="L18" s="18">
        <f>1/(1+EXP(-K18))</f>
        <v/>
      </c>
      <c r="M18" s="18">
        <f>'Weights &amp; Biases'!$E$11 + (F18*'Weights &amp; Biases'!$E$7 + G18*'Weights &amp; Biases'!$E$8 + H18*'Weights &amp; Biases'!$E$9)</f>
        <v/>
      </c>
      <c r="N18" s="18">
        <f>1/(1+EXP(-M18))</f>
        <v/>
      </c>
      <c r="O18" s="18">
        <f>'Weights &amp; Biases'!$C$16 + (J18*'Weights &amp; Biases'!$C$14 + L18*'Weights &amp; Biases'!$D$14 + N18*'Weights &amp; Biases'!$E$14)</f>
        <v/>
      </c>
      <c r="P18" s="24">
        <f>O18 * 'Overview &amp; Architecture'!$J$14 + 'Overview &amp; Architecture'!$H$14</f>
        <v/>
      </c>
      <c r="Q18" s="24">
        <f>E18 - P18</f>
        <v/>
      </c>
      <c r="R18" s="24">
        <f>ABS(Q18)</f>
        <v/>
      </c>
      <c r="S18" s="24">
        <f>Q18^2</f>
        <v/>
      </c>
    </row>
    <row r="19">
      <c r="A19" s="8" t="n">
        <v>15</v>
      </c>
      <c r="B19" s="8" t="n">
        <v>4.8</v>
      </c>
      <c r="C19" s="8" t="n">
        <v>80</v>
      </c>
      <c r="D19" s="8" t="n">
        <v>64</v>
      </c>
      <c r="E19" s="8" t="n">
        <v>65</v>
      </c>
      <c r="F19" s="18">
        <f>(B19 - 'Overview &amp; Architecture'!$H$11) / 'Overview &amp; Architecture'!$J$11</f>
        <v/>
      </c>
      <c r="G19" s="18">
        <f>(C19 - 'Overview &amp; Architecture'!$H$12) / 'Overview &amp; Architecture'!$J$12</f>
        <v/>
      </c>
      <c r="H19" s="18">
        <f>(D19 - 'Overview &amp; Architecture'!$H$13) / 'Overview &amp; Architecture'!$J$13</f>
        <v/>
      </c>
      <c r="I19" s="18">
        <f>'Weights &amp; Biases'!$C$11 + (F19*'Weights &amp; Biases'!$C$7 + G19*'Weights &amp; Biases'!$C$8 + H19*'Weights &amp; Biases'!$C$9)</f>
        <v/>
      </c>
      <c r="J19" s="18">
        <f>1/(1+EXP(-I19))</f>
        <v/>
      </c>
      <c r="K19" s="18">
        <f>'Weights &amp; Biases'!$D$11 + (F19*'Weights &amp; Biases'!$D$7 + G19*'Weights &amp; Biases'!$D$8 + H19*'Weights &amp; Biases'!$D$9)</f>
        <v/>
      </c>
      <c r="L19" s="18">
        <f>1/(1+EXP(-K19))</f>
        <v/>
      </c>
      <c r="M19" s="18">
        <f>'Weights &amp; Biases'!$E$11 + (F19*'Weights &amp; Biases'!$E$7 + G19*'Weights &amp; Biases'!$E$8 + H19*'Weights &amp; Biases'!$E$9)</f>
        <v/>
      </c>
      <c r="N19" s="18">
        <f>1/(1+EXP(-M19))</f>
        <v/>
      </c>
      <c r="O19" s="18">
        <f>'Weights &amp; Biases'!$C$16 + (J19*'Weights &amp; Biases'!$C$14 + L19*'Weights &amp; Biases'!$D$14 + N19*'Weights &amp; Biases'!$E$14)</f>
        <v/>
      </c>
      <c r="P19" s="24">
        <f>O19 * 'Overview &amp; Architecture'!$J$14 + 'Overview &amp; Architecture'!$H$14</f>
        <v/>
      </c>
      <c r="Q19" s="24">
        <f>E19 - P19</f>
        <v/>
      </c>
      <c r="R19" s="24">
        <f>ABS(Q19)</f>
        <v/>
      </c>
      <c r="S19" s="24">
        <f>Q19^2</f>
        <v/>
      </c>
    </row>
    <row r="20">
      <c r="A20" s="8" t="n">
        <v>16</v>
      </c>
      <c r="B20" s="8" t="n">
        <v>5.8</v>
      </c>
      <c r="C20" s="8" t="n">
        <v>86</v>
      </c>
      <c r="D20" s="8" t="n">
        <v>70</v>
      </c>
      <c r="E20" s="8" t="n">
        <v>71</v>
      </c>
      <c r="F20" s="18">
        <f>(B20 - 'Overview &amp; Architecture'!$H$11) / 'Overview &amp; Architecture'!$J$11</f>
        <v/>
      </c>
      <c r="G20" s="18">
        <f>(C20 - 'Overview &amp; Architecture'!$H$12) / 'Overview &amp; Architecture'!$J$12</f>
        <v/>
      </c>
      <c r="H20" s="18">
        <f>(D20 - 'Overview &amp; Architecture'!$H$13) / 'Overview &amp; Architecture'!$J$13</f>
        <v/>
      </c>
      <c r="I20" s="18">
        <f>'Weights &amp; Biases'!$C$11 + (F20*'Weights &amp; Biases'!$C$7 + G20*'Weights &amp; Biases'!$C$8 + H20*'Weights &amp; Biases'!$C$9)</f>
        <v/>
      </c>
      <c r="J20" s="18">
        <f>1/(1+EXP(-I20))</f>
        <v/>
      </c>
      <c r="K20" s="18">
        <f>'Weights &amp; Biases'!$D$11 + (F20*'Weights &amp; Biases'!$D$7 + G20*'Weights &amp; Biases'!$D$8 + H20*'Weights &amp; Biases'!$D$9)</f>
        <v/>
      </c>
      <c r="L20" s="18">
        <f>1/(1+EXP(-K20))</f>
        <v/>
      </c>
      <c r="M20" s="18">
        <f>'Weights &amp; Biases'!$E$11 + (F20*'Weights &amp; Biases'!$E$7 + G20*'Weights &amp; Biases'!$E$8 + H20*'Weights &amp; Biases'!$E$9)</f>
        <v/>
      </c>
      <c r="N20" s="18">
        <f>1/(1+EXP(-M20))</f>
        <v/>
      </c>
      <c r="O20" s="18">
        <f>'Weights &amp; Biases'!$C$16 + (J20*'Weights &amp; Biases'!$C$14 + L20*'Weights &amp; Biases'!$D$14 + N20*'Weights &amp; Biases'!$E$14)</f>
        <v/>
      </c>
      <c r="P20" s="24">
        <f>O20 * 'Overview &amp; Architecture'!$J$14 + 'Overview &amp; Architecture'!$H$14</f>
        <v/>
      </c>
      <c r="Q20" s="24">
        <f>E20 - P20</f>
        <v/>
      </c>
      <c r="R20" s="24">
        <f>ABS(Q20)</f>
        <v/>
      </c>
      <c r="S20" s="24">
        <f>Q20^2</f>
        <v/>
      </c>
    </row>
    <row r="21">
      <c r="A21" s="8" t="n">
        <v>17</v>
      </c>
      <c r="B21" s="8" t="n">
        <v>6.2</v>
      </c>
      <c r="C21" s="8" t="n">
        <v>92</v>
      </c>
      <c r="D21" s="8" t="n">
        <v>74</v>
      </c>
      <c r="E21" s="8" t="n">
        <v>76</v>
      </c>
      <c r="F21" s="18">
        <f>(B21 - 'Overview &amp; Architecture'!$H$11) / 'Overview &amp; Architecture'!$J$11</f>
        <v/>
      </c>
      <c r="G21" s="18">
        <f>(C21 - 'Overview &amp; Architecture'!$H$12) / 'Overview &amp; Architecture'!$J$12</f>
        <v/>
      </c>
      <c r="H21" s="18">
        <f>(D21 - 'Overview &amp; Architecture'!$H$13) / 'Overview &amp; Architecture'!$J$13</f>
        <v/>
      </c>
      <c r="I21" s="18">
        <f>'Weights &amp; Biases'!$C$11 + (F21*'Weights &amp; Biases'!$C$7 + G21*'Weights &amp; Biases'!$C$8 + H21*'Weights &amp; Biases'!$C$9)</f>
        <v/>
      </c>
      <c r="J21" s="18">
        <f>1/(1+EXP(-I21))</f>
        <v/>
      </c>
      <c r="K21" s="18">
        <f>'Weights &amp; Biases'!$D$11 + (F21*'Weights &amp; Biases'!$D$7 + G21*'Weights &amp; Biases'!$D$8 + H21*'Weights &amp; Biases'!$D$9)</f>
        <v/>
      </c>
      <c r="L21" s="18">
        <f>1/(1+EXP(-K21))</f>
        <v/>
      </c>
      <c r="M21" s="18">
        <f>'Weights &amp; Biases'!$E$11 + (F21*'Weights &amp; Biases'!$E$7 + G21*'Weights &amp; Biases'!$E$8 + H21*'Weights &amp; Biases'!$E$9)</f>
        <v/>
      </c>
      <c r="N21" s="18">
        <f>1/(1+EXP(-M21))</f>
        <v/>
      </c>
      <c r="O21" s="18">
        <f>'Weights &amp; Biases'!$C$16 + (J21*'Weights &amp; Biases'!$C$14 + L21*'Weights &amp; Biases'!$D$14 + N21*'Weights &amp; Biases'!$E$14)</f>
        <v/>
      </c>
      <c r="P21" s="24">
        <f>O21 * 'Overview &amp; Architecture'!$J$14 + 'Overview &amp; Architecture'!$H$14</f>
        <v/>
      </c>
      <c r="Q21" s="24">
        <f>E21 - P21</f>
        <v/>
      </c>
      <c r="R21" s="24">
        <f>ABS(Q21)</f>
        <v/>
      </c>
      <c r="S21" s="24">
        <f>Q21^2</f>
        <v/>
      </c>
    </row>
    <row r="22">
      <c r="A22" s="8" t="n">
        <v>18</v>
      </c>
      <c r="B22" s="8" t="n">
        <v>2.8</v>
      </c>
      <c r="C22" s="8" t="n">
        <v>66</v>
      </c>
      <c r="D22" s="8" t="n">
        <v>50</v>
      </c>
      <c r="E22" s="8" t="n">
        <v>49</v>
      </c>
      <c r="F22" s="18">
        <f>(B22 - 'Overview &amp; Architecture'!$H$11) / 'Overview &amp; Architecture'!$J$11</f>
        <v/>
      </c>
      <c r="G22" s="18">
        <f>(C22 - 'Overview &amp; Architecture'!$H$12) / 'Overview &amp; Architecture'!$J$12</f>
        <v/>
      </c>
      <c r="H22" s="18">
        <f>(D22 - 'Overview &amp; Architecture'!$H$13) / 'Overview &amp; Architecture'!$J$13</f>
        <v/>
      </c>
      <c r="I22" s="18">
        <f>'Weights &amp; Biases'!$C$11 + (F22*'Weights &amp; Biases'!$C$7 + G22*'Weights &amp; Biases'!$C$8 + H22*'Weights &amp; Biases'!$C$9)</f>
        <v/>
      </c>
      <c r="J22" s="18">
        <f>1/(1+EXP(-I22))</f>
        <v/>
      </c>
      <c r="K22" s="18">
        <f>'Weights &amp; Biases'!$D$11 + (F22*'Weights &amp; Biases'!$D$7 + G22*'Weights &amp; Biases'!$D$8 + H22*'Weights &amp; Biases'!$D$9)</f>
        <v/>
      </c>
      <c r="L22" s="18">
        <f>1/(1+EXP(-K22))</f>
        <v/>
      </c>
      <c r="M22" s="18">
        <f>'Weights &amp; Biases'!$E$11 + (F22*'Weights &amp; Biases'!$E$7 + G22*'Weights &amp; Biases'!$E$8 + H22*'Weights &amp; Biases'!$E$9)</f>
        <v/>
      </c>
      <c r="N22" s="18">
        <f>1/(1+EXP(-M22))</f>
        <v/>
      </c>
      <c r="O22" s="18">
        <f>'Weights &amp; Biases'!$C$16 + (J22*'Weights &amp; Biases'!$C$14 + L22*'Weights &amp; Biases'!$D$14 + N22*'Weights &amp; Biases'!$E$14)</f>
        <v/>
      </c>
      <c r="P22" s="24">
        <f>O22 * 'Overview &amp; Architecture'!$J$14 + 'Overview &amp; Architecture'!$H$14</f>
        <v/>
      </c>
      <c r="Q22" s="24">
        <f>E22 - P22</f>
        <v/>
      </c>
      <c r="R22" s="24">
        <f>ABS(Q22)</f>
        <v/>
      </c>
      <c r="S22" s="24">
        <f>Q22^2</f>
        <v/>
      </c>
    </row>
    <row r="23">
      <c r="A23" s="8" t="n">
        <v>19</v>
      </c>
      <c r="B23" s="8" t="n">
        <v>4.2</v>
      </c>
      <c r="C23" s="8" t="n">
        <v>77</v>
      </c>
      <c r="D23" s="8" t="n">
        <v>60</v>
      </c>
      <c r="E23" s="8" t="n">
        <v>59</v>
      </c>
      <c r="F23" s="18">
        <f>(B23 - 'Overview &amp; Architecture'!$H$11) / 'Overview &amp; Architecture'!$J$11</f>
        <v/>
      </c>
      <c r="G23" s="18">
        <f>(C23 - 'Overview &amp; Architecture'!$H$12) / 'Overview &amp; Architecture'!$J$12</f>
        <v/>
      </c>
      <c r="H23" s="18">
        <f>(D23 - 'Overview &amp; Architecture'!$H$13) / 'Overview &amp; Architecture'!$J$13</f>
        <v/>
      </c>
      <c r="I23" s="18">
        <f>'Weights &amp; Biases'!$C$11 + (F23*'Weights &amp; Biases'!$C$7 + G23*'Weights &amp; Biases'!$C$8 + H23*'Weights &amp; Biases'!$C$9)</f>
        <v/>
      </c>
      <c r="J23" s="18">
        <f>1/(1+EXP(-I23))</f>
        <v/>
      </c>
      <c r="K23" s="18">
        <f>'Weights &amp; Biases'!$D$11 + (F23*'Weights &amp; Biases'!$D$7 + G23*'Weights &amp; Biases'!$D$8 + H23*'Weights &amp; Biases'!$D$9)</f>
        <v/>
      </c>
      <c r="L23" s="18">
        <f>1/(1+EXP(-K23))</f>
        <v/>
      </c>
      <c r="M23" s="18">
        <f>'Weights &amp; Biases'!$E$11 + (F23*'Weights &amp; Biases'!$E$7 + G23*'Weights &amp; Biases'!$E$8 + H23*'Weights &amp; Biases'!$E$9)</f>
        <v/>
      </c>
      <c r="N23" s="18">
        <f>1/(1+EXP(-M23))</f>
        <v/>
      </c>
      <c r="O23" s="18">
        <f>'Weights &amp; Biases'!$C$16 + (J23*'Weights &amp; Biases'!$C$14 + L23*'Weights &amp; Biases'!$D$14 + N23*'Weights &amp; Biases'!$E$14)</f>
        <v/>
      </c>
      <c r="P23" s="24">
        <f>O23 * 'Overview &amp; Architecture'!$J$14 + 'Overview &amp; Architecture'!$H$14</f>
        <v/>
      </c>
      <c r="Q23" s="24">
        <f>E23 - P23</f>
        <v/>
      </c>
      <c r="R23" s="24">
        <f>ABS(Q23)</f>
        <v/>
      </c>
      <c r="S23" s="24">
        <f>Q23^2</f>
        <v/>
      </c>
    </row>
    <row r="24">
      <c r="A24" s="8" t="n">
        <v>20</v>
      </c>
      <c r="B24" s="8" t="n">
        <v>7.5</v>
      </c>
      <c r="C24" s="8" t="n">
        <v>96</v>
      </c>
      <c r="D24" s="8" t="n">
        <v>85</v>
      </c>
      <c r="E24" s="8" t="n">
        <v>88</v>
      </c>
      <c r="F24" s="18">
        <f>(B24 - 'Overview &amp; Architecture'!$H$11) / 'Overview &amp; Architecture'!$J$11</f>
        <v/>
      </c>
      <c r="G24" s="18">
        <f>(C24 - 'Overview &amp; Architecture'!$H$12) / 'Overview &amp; Architecture'!$J$12</f>
        <v/>
      </c>
      <c r="H24" s="18">
        <f>(D24 - 'Overview &amp; Architecture'!$H$13) / 'Overview &amp; Architecture'!$J$13</f>
        <v/>
      </c>
      <c r="I24" s="18">
        <f>'Weights &amp; Biases'!$C$11 + (F24*'Weights &amp; Biases'!$C$7 + G24*'Weights &amp; Biases'!$C$8 + H24*'Weights &amp; Biases'!$C$9)</f>
        <v/>
      </c>
      <c r="J24" s="18">
        <f>1/(1+EXP(-I24))</f>
        <v/>
      </c>
      <c r="K24" s="18">
        <f>'Weights &amp; Biases'!$D$11 + (F24*'Weights &amp; Biases'!$D$7 + G24*'Weights &amp; Biases'!$D$8 + H24*'Weights &amp; Biases'!$D$9)</f>
        <v/>
      </c>
      <c r="L24" s="18">
        <f>1/(1+EXP(-K24))</f>
        <v/>
      </c>
      <c r="M24" s="18">
        <f>'Weights &amp; Biases'!$E$11 + (F24*'Weights &amp; Biases'!$E$7 + G24*'Weights &amp; Biases'!$E$8 + H24*'Weights &amp; Biases'!$E$9)</f>
        <v/>
      </c>
      <c r="N24" s="18">
        <f>1/(1+EXP(-M24))</f>
        <v/>
      </c>
      <c r="O24" s="18">
        <f>'Weights &amp; Biases'!$C$16 + (J24*'Weights &amp; Biases'!$C$14 + L24*'Weights &amp; Biases'!$D$14 + N24*'Weights &amp; Biases'!$E$14)</f>
        <v/>
      </c>
      <c r="P24" s="24">
        <f>O24 * 'Overview &amp; Architecture'!$J$14 + 'Overview &amp; Architecture'!$H$14</f>
        <v/>
      </c>
      <c r="Q24" s="24">
        <f>E24 - P24</f>
        <v/>
      </c>
      <c r="R24" s="24">
        <f>ABS(Q24)</f>
        <v/>
      </c>
      <c r="S24" s="24">
        <f>Q24^2</f>
        <v/>
      </c>
    </row>
    <row r="25">
      <c r="N25" s="3" t="inlineStr">
        <is>
          <t>Mean Absolute Error (MAE):</t>
        </is>
      </c>
      <c r="P25" s="25">
        <f>AVERAGE(R5:R24)</f>
        <v/>
      </c>
    </row>
    <row r="26">
      <c r="N26" s="3" t="inlineStr">
        <is>
          <t>Mean Squared Error (MSE):</t>
        </is>
      </c>
      <c r="P26" s="25">
        <f>AVERAGE(S5:S24)</f>
        <v/>
      </c>
    </row>
    <row r="27">
      <c r="N27" s="3" t="inlineStr">
        <is>
          <t>Root Mean Squared Error (RMSE):</t>
        </is>
      </c>
      <c r="P27" s="25">
        <f>SQRT(P26)</f>
        <v/>
      </c>
    </row>
    <row r="28">
      <c r="N28" s="3" t="inlineStr">
        <is>
          <t>TOTAL SSE (Excel Solver Target):</t>
        </is>
      </c>
      <c r="P28" s="26">
        <f>SUM(S5:S24)</f>
        <v/>
      </c>
    </row>
  </sheetData>
  <mergeCells count="1">
    <mergeCell ref="A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STEP-BY-STEP BACKPROPAGATION &amp; GRADIENT DESCENT DEMONSTRATION</t>
        </is>
      </c>
    </row>
    <row r="3">
      <c r="B3" s="2" t="inlineStr">
        <is>
          <t>Demonstrating 1 complete Training Epoch on Sample Student #1 using Backpropagation Formulas</t>
        </is>
      </c>
    </row>
    <row r="4"/>
    <row r="5">
      <c r="B5" s="5" t="inlineStr">
        <is>
          <t>PHASE 1: SAMPLE DATA INPUT &amp; NORMALIZATION</t>
        </is>
      </c>
    </row>
    <row r="6">
      <c r="B6" s="14" t="inlineStr">
        <is>
          <t>Input Feature 1 (Study Hours x1):</t>
        </is>
      </c>
      <c r="C6" s="6" t="n">
        <v>1</v>
      </c>
      <c r="D6" s="27" t="inlineStr">
        <is>
          <t>Norm x1 = (1.0 - 1.0) / 6.5 = 0.0000</t>
        </is>
      </c>
    </row>
    <row r="7">
      <c r="B7" s="14" t="inlineStr">
        <is>
          <t>Input Feature 2 (Attendance % x2):</t>
        </is>
      </c>
      <c r="C7" s="6" t="n">
        <v>55</v>
      </c>
      <c r="D7" s="27" t="inlineStr">
        <is>
          <t>Norm x2 = (55.0 - 55.0) / 41.0 = 0.0000</t>
        </is>
      </c>
    </row>
    <row r="8">
      <c r="B8" s="14" t="inlineStr">
        <is>
          <t>Input Feature 3 (Previous Score x3):</t>
        </is>
      </c>
      <c r="C8" s="6" t="n">
        <v>40</v>
      </c>
      <c r="D8" s="27" t="inlineStr">
        <is>
          <t>Norm x3 = (40.0 - 40.0) / 45.0 = 0.0000</t>
        </is>
      </c>
    </row>
    <row r="9">
      <c r="B9" s="14" t="inlineStr">
        <is>
          <t>Target Actual Exam Score (y):</t>
        </is>
      </c>
      <c r="C9" s="6" t="n">
        <v>38</v>
      </c>
      <c r="D9" s="27" t="inlineStr">
        <is>
          <t>Norm y = (38.0 - 38.0) / 50.0 = 0.0000</t>
        </is>
      </c>
    </row>
    <row r="10">
      <c r="B10" s="14" t="inlineStr">
        <is>
          <t>Learning Rate (eta):</t>
        </is>
      </c>
      <c r="C10" s="6" t="n">
        <v>0.1</v>
      </c>
      <c r="D10" s="27" t="inlineStr">
        <is>
          <t>Step size for gradient descent weight updates</t>
        </is>
      </c>
    </row>
    <row r="11"/>
    <row r="12">
      <c r="B12" s="5" t="inlineStr">
        <is>
          <t>PHASE 2: FORWARD PASS CALCULATIONS</t>
        </is>
      </c>
    </row>
    <row r="13">
      <c r="B13" s="14" t="inlineStr">
        <is>
          <t>Hidden Layer Net Input z_h1:</t>
        </is>
      </c>
      <c r="C13" s="28">
        <f>'Weights &amp; Biases'!$C$11 + 0</f>
        <v/>
      </c>
      <c r="D13" s="27" t="inlineStr">
        <is>
          <t>z_h1 = b1_1 + SUM(w1 * x)</t>
        </is>
      </c>
    </row>
    <row r="14">
      <c r="B14" s="14" t="inlineStr">
        <is>
          <t>Hidden Layer Activation h1:</t>
        </is>
      </c>
      <c r="C14" s="28">
        <f>1/(1+EXP(-C12))</f>
        <v/>
      </c>
      <c r="D14" s="27" t="inlineStr">
        <is>
          <t>h1 = sigma(z_h1) = 1 / (1 + e^-z)</t>
        </is>
      </c>
    </row>
    <row r="15">
      <c r="B15" s="14" t="inlineStr">
        <is>
          <t>Hidden Layer Activation h2:</t>
        </is>
      </c>
      <c r="C15" s="28">
        <f>1/(1+EXP(-'Weights &amp; Biases'!$D$11))</f>
        <v/>
      </c>
      <c r="D15" s="27" t="inlineStr">
        <is>
          <t>h2 = sigma(z_h2)</t>
        </is>
      </c>
    </row>
    <row r="16">
      <c r="B16" s="14" t="inlineStr">
        <is>
          <t>Hidden Layer Activation h3:</t>
        </is>
      </c>
      <c r="C16" s="28">
        <f>1/(1+EXP(-'Weights &amp; Biases'!$E$11))</f>
        <v/>
      </c>
      <c r="D16" s="27" t="inlineStr">
        <is>
          <t>h3 = sigma(z_h3)</t>
        </is>
      </c>
    </row>
    <row r="17">
      <c r="B17" s="14" t="inlineStr">
        <is>
          <t>Output Layer Net Input z_out:</t>
        </is>
      </c>
      <c r="C17" s="28">
        <f>'Weights &amp; Biases'!$C$16 + (C13*'Weights &amp; Biases'!$C$14 + C14*'Weights &amp; Biases'!$D$14 + C15*'Weights &amp; Biases'!$E$14)</f>
        <v/>
      </c>
      <c r="D17" s="27" t="inlineStr">
        <is>
          <t>z_out = b2 + SUM(w2 * h)</t>
        </is>
      </c>
    </row>
    <row r="18">
      <c r="B18" s="14" t="inlineStr">
        <is>
          <t>Model Output Prediction (y_hat_norm):</t>
        </is>
      </c>
      <c r="C18" s="28">
        <f>C16</f>
        <v/>
      </c>
      <c r="D18" s="27" t="inlineStr">
        <is>
          <t>Linear output layer activation</t>
        </is>
      </c>
    </row>
    <row r="19">
      <c r="B19" s="14" t="inlineStr">
        <is>
          <t>Total Squared Error E:</t>
        </is>
      </c>
      <c r="C19" s="28">
        <f>0.5 * (C17 - 0)^2</f>
        <v/>
      </c>
      <c r="D19" s="27" t="inlineStr">
        <is>
          <t>E = 1/2 * (y_hat - y)^2</t>
        </is>
      </c>
    </row>
    <row r="20"/>
    <row r="21">
      <c r="B21" s="5" t="inlineStr">
        <is>
          <t>PHASE 3: BACKPROPAGATION ERROR DELTAS</t>
        </is>
      </c>
    </row>
    <row r="22">
      <c r="B22" s="14" t="inlineStr">
        <is>
          <t>Output Error Delta (delta_out):</t>
        </is>
      </c>
      <c r="C22" s="28">
        <f>C17 - 0</f>
        <v/>
      </c>
      <c r="D22" s="27" t="inlineStr">
        <is>
          <t>dE / dz_out = (y_hat - y)</t>
        </is>
      </c>
    </row>
    <row r="23">
      <c r="B23" s="14" t="inlineStr">
        <is>
          <t>Hidden Neuron Delta 1 (delta_h1):</t>
        </is>
      </c>
      <c r="C23" s="28">
        <f>C20 * 'Weights &amp; Biases'!$C$14 * C13 * (1 - C13)</f>
        <v/>
      </c>
      <c r="D23" s="27" t="inlineStr">
        <is>
          <t>delta_h1 = delta_out * w2_1 * h1 * (1 - h1)</t>
        </is>
      </c>
    </row>
    <row r="24">
      <c r="B24" s="14" t="inlineStr">
        <is>
          <t>Hidden Neuron Delta 2 (delta_h2):</t>
        </is>
      </c>
      <c r="C24" s="28">
        <f>C20 * 'Weights &amp; Biases'!$D$14 * C14 * (1 - C14)</f>
        <v/>
      </c>
      <c r="D24" s="27" t="inlineStr">
        <is>
          <t>delta_h2 = delta_out * w2_2 * h2 * (1 - h2)</t>
        </is>
      </c>
    </row>
    <row r="25">
      <c r="B25" s="14" t="inlineStr">
        <is>
          <t>Hidden Neuron Delta 3 (delta_h3):</t>
        </is>
      </c>
      <c r="C25" s="28">
        <f>C20 * 'Weights &amp; Biases'!$E$14 * C15 * (1 - C15)</f>
        <v/>
      </c>
      <c r="D25" s="27" t="inlineStr">
        <is>
          <t>delta_h3 = delta_out * w2_3 * h3 * (1 - h3)</t>
        </is>
      </c>
    </row>
    <row r="26"/>
    <row r="27">
      <c r="B27" s="5" t="inlineStr">
        <is>
          <t>PHASE 4: WEIGHT GRADIENTS &amp; UPDATES (W_new = W_old - eta * Gradient)</t>
        </is>
      </c>
    </row>
    <row r="28">
      <c r="B28" s="14" t="inlineStr">
        <is>
          <t>Gradient for Output Weight w2_1:</t>
        </is>
      </c>
      <c r="C28" s="28">
        <f>C20 * C13</f>
        <v/>
      </c>
      <c r="D28" s="27" t="inlineStr">
        <is>
          <t>dE / dw2_1 = delta_out * h1</t>
        </is>
      </c>
    </row>
    <row r="29">
      <c r="B29" s="14" t="inlineStr">
        <is>
          <t>New Output Weight w2_1 (Updated):</t>
        </is>
      </c>
      <c r="C29" s="29">
        <f>'Weights &amp; Biases'!$C$14 - 0.1 * C25</f>
        <v/>
      </c>
      <c r="D29" s="27" t="inlineStr">
        <is>
          <t>w2_1(new) = w2_1(old) - eta * grad</t>
        </is>
      </c>
    </row>
    <row r="30">
      <c r="B30" s="14" t="inlineStr">
        <is>
          <t>Gradient for Output Bias b2:</t>
        </is>
      </c>
      <c r="C30" s="28">
        <f>C20</f>
        <v/>
      </c>
      <c r="D30" s="27" t="inlineStr">
        <is>
          <t>dE / db2 = delta_out</t>
        </is>
      </c>
    </row>
    <row r="31">
      <c r="B31" s="14" t="inlineStr">
        <is>
          <t>New Output Bias b2 (Updated):</t>
        </is>
      </c>
      <c r="C31" s="29">
        <f>'Weights &amp; Biases'!$C$16 - 0.1 * C27</f>
        <v/>
      </c>
      <c r="D31" s="27" t="inlineStr">
        <is>
          <t>b2(new) = b2(old) - eta * delta_out</t>
        </is>
      </c>
    </row>
  </sheetData>
  <mergeCells count="26">
    <mergeCell ref="D13:I13"/>
    <mergeCell ref="D17:I17"/>
    <mergeCell ref="B3:I3"/>
    <mergeCell ref="D16:I16"/>
    <mergeCell ref="B27:I27"/>
    <mergeCell ref="D7:I7"/>
    <mergeCell ref="B12:I12"/>
    <mergeCell ref="B21:I21"/>
    <mergeCell ref="D28:I28"/>
    <mergeCell ref="B2:I2"/>
    <mergeCell ref="D18:I18"/>
    <mergeCell ref="D9:I9"/>
    <mergeCell ref="D30:I30"/>
    <mergeCell ref="D8:I8"/>
    <mergeCell ref="D25:I25"/>
    <mergeCell ref="D15:I15"/>
    <mergeCell ref="D24:I24"/>
    <mergeCell ref="D14:I14"/>
    <mergeCell ref="D29:I29"/>
    <mergeCell ref="D23:I23"/>
    <mergeCell ref="D19:I19"/>
    <mergeCell ref="D10:I10"/>
    <mergeCell ref="D22:I22"/>
    <mergeCell ref="D31:I31"/>
    <mergeCell ref="B5:I5"/>
    <mergeCell ref="D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4" customWidth="1" min="4" max="4"/>
    <col width="24" customWidth="1" min="5" max="5"/>
    <col width="12" customWidth="1" min="6" max="6"/>
    <col width="12" customWidth="1" min="7" max="7"/>
  </cols>
  <sheetData>
    <row r="1"/>
    <row r="2">
      <c r="B2" s="1" t="inlineStr">
        <is>
          <t>NEURAL NETWORK WEIGHTS &amp; BIASES (MODEL PARAMETERS)</t>
        </is>
      </c>
    </row>
    <row r="3">
      <c r="B3" s="2" t="inlineStr">
        <is>
          <t>Values obtained from Gradient Descent / Backpropagation training (All formulas link to this sheet)</t>
        </is>
      </c>
    </row>
    <row r="4"/>
    <row r="5">
      <c r="B5" s="5" t="inlineStr">
        <is>
          <t>WEIGHT MATRIX W1: INPUT LAYER -&gt; HIDDEN LAYER</t>
        </is>
      </c>
    </row>
    <row r="6">
      <c r="B6" s="6" t="inlineStr">
        <is>
          <t>Input Feature</t>
        </is>
      </c>
      <c r="C6" s="6" t="inlineStr">
        <is>
          <t>Hidden Neuron 1 (h1)</t>
        </is>
      </c>
      <c r="D6" s="6" t="inlineStr">
        <is>
          <t>Hidden Neuron 2 (h2)</t>
        </is>
      </c>
      <c r="E6" s="6" t="inlineStr">
        <is>
          <t>Hidden Neuron 3 (h3)</t>
        </is>
      </c>
    </row>
    <row r="7">
      <c r="B7" s="14" t="inlineStr">
        <is>
          <t>Study Hours (x1)</t>
        </is>
      </c>
      <c r="C7" s="30" t="n">
        <v>0.3092671934090711</v>
      </c>
      <c r="D7" s="30" t="n">
        <v>0.9386129590139543</v>
      </c>
      <c r="E7" s="30" t="n">
        <v>-0.0175703279356726</v>
      </c>
    </row>
    <row r="8">
      <c r="B8" s="14" t="inlineStr">
        <is>
          <t>Attendance % (x2)</t>
        </is>
      </c>
      <c r="C8" s="30" t="n">
        <v>0.1108405616817845</v>
      </c>
      <c r="D8" s="30" t="n">
        <v>-0.1051804518021588</v>
      </c>
      <c r="E8" s="30" t="n">
        <v>-0.2437863437731511</v>
      </c>
    </row>
    <row r="9">
      <c r="B9" s="14" t="inlineStr">
        <is>
          <t>Prev Test Score (x3)</t>
        </is>
      </c>
      <c r="C9" s="30" t="n">
        <v>0.2854968787380304</v>
      </c>
      <c r="D9" s="30" t="n">
        <v>0.9892372966849733</v>
      </c>
      <c r="E9" s="30" t="n">
        <v>-0.5122863629478328</v>
      </c>
    </row>
    <row r="10"/>
    <row r="11">
      <c r="B11" s="17" t="inlineStr">
        <is>
          <t>Hidden Bias (b1)</t>
        </is>
      </c>
      <c r="C11" s="31" t="n">
        <v>-0.4965056511499248</v>
      </c>
      <c r="D11" s="31" t="n">
        <v>-1.228723721298963</v>
      </c>
      <c r="E11" s="31" t="n">
        <v>1.960671199980497</v>
      </c>
    </row>
    <row r="12"/>
    <row r="13">
      <c r="B13" s="5" t="inlineStr">
        <is>
          <t>WEIGHT MATRIX W2: HIDDEN LAYER -&gt; OUTPUT LAYER</t>
        </is>
      </c>
    </row>
    <row r="14">
      <c r="B14" s="6" t="inlineStr">
        <is>
          <t>Weight Parameter</t>
        </is>
      </c>
      <c r="C14" s="6" t="inlineStr">
        <is>
          <t>w2_1 (from h1)</t>
        </is>
      </c>
      <c r="D14" s="6" t="inlineStr">
        <is>
          <t>w2_2 (from h2)</t>
        </is>
      </c>
      <c r="E14" s="6" t="inlineStr">
        <is>
          <t>w2_3 (from h3)</t>
        </is>
      </c>
    </row>
    <row r="15">
      <c r="B15" s="14" t="inlineStr">
        <is>
          <t>Output Weight Values:</t>
        </is>
      </c>
      <c r="C15" s="30" t="n">
        <v>1.567527118523436</v>
      </c>
      <c r="D15" s="30" t="n">
        <v>1.403591917340028</v>
      </c>
      <c r="E15" s="30" t="n">
        <v>-1.442735273984032</v>
      </c>
    </row>
    <row r="16">
      <c r="B16" s="17" t="inlineStr">
        <is>
          <t>Output Bias (b2):</t>
        </is>
      </c>
      <c r="C16" s="31" t="n">
        <v>0.3332913509037437</v>
      </c>
    </row>
  </sheetData>
  <mergeCells count="4">
    <mergeCell ref="B3:G3"/>
    <mergeCell ref="B2:G2"/>
    <mergeCell ref="B13:E13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34" customWidth="1" min="4" max="4"/>
    <col width="14" customWidth="1" min="5" max="5"/>
    <col width="24" customWidth="1" min="6" max="6"/>
    <col width="20" customWidth="1" min="7" max="7"/>
    <col width="12" customWidth="1" min="8" max="8"/>
    <col width="45" customWidth="1" min="9" max="9"/>
  </cols>
  <sheetData>
    <row r="1"/>
    <row r="2">
      <c r="B2" s="1" t="inlineStr">
        <is>
          <t>MODEL COMPARISON: LINEAR REGRESSION VS MULTI-LAYER NEURAL NETWORK</t>
        </is>
      </c>
    </row>
    <row r="3"/>
    <row r="4">
      <c r="B4" s="23" t="inlineStr">
        <is>
          <t>Student ID</t>
        </is>
      </c>
      <c r="C4" s="23" t="inlineStr">
        <is>
          <t>Actual Exam Score</t>
        </is>
      </c>
      <c r="D4" s="23" t="inlineStr">
        <is>
          <t>MLNN Predicted</t>
        </is>
      </c>
      <c r="E4" s="23" t="inlineStr">
        <is>
          <t>MLNN Error</t>
        </is>
      </c>
      <c r="F4" s="23" t="inlineStr">
        <is>
          <t>Linear Reg Predicted</t>
        </is>
      </c>
      <c r="G4" s="23" t="inlineStr">
        <is>
          <t>Linear Reg Error</t>
        </is>
      </c>
      <c r="H4" s="23" t="inlineStr">
        <is>
          <t>Split</t>
        </is>
      </c>
      <c r="I4" s="23" t="inlineStr">
        <is>
          <t>Superior Model</t>
        </is>
      </c>
    </row>
    <row r="5">
      <c r="B5" s="8" t="n">
        <v>1</v>
      </c>
      <c r="C5" s="24" t="n">
        <v>38</v>
      </c>
      <c r="D5" s="24">
        <f>'Forward Pass (All Data)'!P5</f>
        <v/>
      </c>
      <c r="E5" s="24">
        <f>C5 - D5</f>
        <v/>
      </c>
      <c r="F5" s="24" t="n">
        <v>36.38</v>
      </c>
      <c r="G5" s="24">
        <f>C5 - F5</f>
        <v/>
      </c>
      <c r="H5" s="8" t="inlineStr">
        <is>
          <t>Test</t>
        </is>
      </c>
      <c r="I5" s="8">
        <f>IF(ABS(E5)&lt;=ABS(G5), "MLNN", "LinReg")</f>
        <v/>
      </c>
    </row>
    <row r="6">
      <c r="B6" s="8" t="n">
        <v>2</v>
      </c>
      <c r="C6" s="24" t="n">
        <v>43</v>
      </c>
      <c r="D6" s="24">
        <f>'Forward Pass (All Data)'!P6</f>
        <v/>
      </c>
      <c r="E6" s="24">
        <f>C6 - D6</f>
        <v/>
      </c>
      <c r="F6" s="24" t="n">
        <v>42.12</v>
      </c>
      <c r="G6" s="24">
        <f>C6 - F6</f>
        <v/>
      </c>
      <c r="H6" s="8" t="inlineStr">
        <is>
          <t>Test</t>
        </is>
      </c>
      <c r="I6" s="8">
        <f>IF(ABS(E6)&lt;=ABS(G6), "MLNN", "LinReg")</f>
        <v/>
      </c>
    </row>
    <row r="7">
      <c r="B7" s="8" t="n">
        <v>3</v>
      </c>
      <c r="C7" s="24" t="n">
        <v>46</v>
      </c>
      <c r="D7" s="24">
        <f>'Forward Pass (All Data)'!P7</f>
        <v/>
      </c>
      <c r="E7" s="24">
        <f>C7 - D7</f>
        <v/>
      </c>
      <c r="F7" s="24" t="n">
        <v>45.83</v>
      </c>
      <c r="G7" s="24">
        <f>C7 - F7</f>
        <v/>
      </c>
      <c r="H7" s="8" t="inlineStr">
        <is>
          <t>Train</t>
        </is>
      </c>
      <c r="I7" s="8">
        <f>IF(ABS(E7)&lt;=ABS(G7), "MLNN", "LinReg")</f>
        <v/>
      </c>
    </row>
    <row r="8">
      <c r="B8" s="8" t="n">
        <v>4</v>
      </c>
      <c r="C8" s="24" t="n">
        <v>50</v>
      </c>
      <c r="D8" s="24">
        <f>'Forward Pass (All Data)'!P8</f>
        <v/>
      </c>
      <c r="E8" s="24">
        <f>C8 - D8</f>
        <v/>
      </c>
      <c r="F8" s="24" t="n">
        <v>49.01</v>
      </c>
      <c r="G8" s="24">
        <f>C8 - F8</f>
        <v/>
      </c>
      <c r="H8" s="8" t="inlineStr">
        <is>
          <t>Train</t>
        </is>
      </c>
      <c r="I8" s="8">
        <f>IF(ABS(E8)&lt;=ABS(G8), "MLNN", "LinReg")</f>
        <v/>
      </c>
    </row>
    <row r="9">
      <c r="B9" s="8" t="n">
        <v>5</v>
      </c>
      <c r="C9" s="24" t="n">
        <v>53</v>
      </c>
      <c r="D9" s="24">
        <f>'Forward Pass (All Data)'!P9</f>
        <v/>
      </c>
      <c r="E9" s="24">
        <f>C9 - D9</f>
        <v/>
      </c>
      <c r="F9" s="24" t="n">
        <v>53.03</v>
      </c>
      <c r="G9" s="24">
        <f>C9 - F9</f>
        <v/>
      </c>
      <c r="H9" s="8" t="inlineStr">
        <is>
          <t>Train</t>
        </is>
      </c>
      <c r="I9" s="8">
        <f>IF(ABS(E9)&lt;=ABS(G9), "MLNN", "LinReg")</f>
        <v/>
      </c>
    </row>
    <row r="10">
      <c r="B10" s="8" t="n">
        <v>6</v>
      </c>
      <c r="C10" s="24" t="n">
        <v>57</v>
      </c>
      <c r="D10" s="24">
        <f>'Forward Pass (All Data)'!P10</f>
        <v/>
      </c>
      <c r="E10" s="24">
        <f>C10 - D10</f>
        <v/>
      </c>
      <c r="F10" s="24" t="n">
        <v>57.63</v>
      </c>
      <c r="G10" s="24">
        <f>C10 - F10</f>
        <v/>
      </c>
      <c r="H10" s="8" t="inlineStr">
        <is>
          <t>Train</t>
        </is>
      </c>
      <c r="I10" s="8">
        <f>IF(ABS(E10)&lt;=ABS(G10), "MLNN", "LinReg")</f>
        <v/>
      </c>
    </row>
    <row r="11">
      <c r="B11" s="8" t="n">
        <v>7</v>
      </c>
      <c r="C11" s="24" t="n">
        <v>61</v>
      </c>
      <c r="D11" s="24">
        <f>'Forward Pass (All Data)'!P11</f>
        <v/>
      </c>
      <c r="E11" s="24">
        <f>C11 - D11</f>
        <v/>
      </c>
      <c r="F11" s="24" t="n">
        <v>61.87</v>
      </c>
      <c r="G11" s="24">
        <f>C11 - F11</f>
        <v/>
      </c>
      <c r="H11" s="8" t="inlineStr">
        <is>
          <t>Train</t>
        </is>
      </c>
      <c r="I11" s="8">
        <f>IF(ABS(E11)&lt;=ABS(G11), "MLNN", "LinReg")</f>
        <v/>
      </c>
    </row>
    <row r="12">
      <c r="B12" s="8" t="n">
        <v>8</v>
      </c>
      <c r="C12" s="24" t="n">
        <v>66</v>
      </c>
      <c r="D12" s="24">
        <f>'Forward Pass (All Data)'!P12</f>
        <v/>
      </c>
      <c r="E12" s="24">
        <f>C12 - D12</f>
        <v/>
      </c>
      <c r="F12" s="24" t="n">
        <v>66.16</v>
      </c>
      <c r="G12" s="24">
        <f>C12 - F12</f>
        <v/>
      </c>
      <c r="H12" s="8" t="inlineStr">
        <is>
          <t>Train</t>
        </is>
      </c>
      <c r="I12" s="8">
        <f>IF(ABS(E12)&lt;=ABS(G12), "MLNN", "LinReg")</f>
        <v/>
      </c>
    </row>
    <row r="13">
      <c r="B13" s="8" t="n">
        <v>9</v>
      </c>
      <c r="C13" s="24" t="n">
        <v>69</v>
      </c>
      <c r="D13" s="24">
        <f>'Forward Pass (All Data)'!P13</f>
        <v/>
      </c>
      <c r="E13" s="24">
        <f>C13 - D13</f>
        <v/>
      </c>
      <c r="F13" s="24" t="n">
        <v>68.87</v>
      </c>
      <c r="G13" s="24">
        <f>C13 - F13</f>
        <v/>
      </c>
      <c r="H13" s="8" t="inlineStr">
        <is>
          <t>Test</t>
        </is>
      </c>
      <c r="I13" s="8">
        <f>IF(ABS(E13)&lt;=ABS(G13), "MLNN", "LinReg")</f>
        <v/>
      </c>
    </row>
    <row r="14">
      <c r="B14" s="8" t="n">
        <v>10</v>
      </c>
      <c r="C14" s="24" t="n">
        <v>73</v>
      </c>
      <c r="D14" s="24">
        <f>'Forward Pass (All Data)'!P14</f>
        <v/>
      </c>
      <c r="E14" s="24">
        <f>C14 - D14</f>
        <v/>
      </c>
      <c r="F14" s="24" t="n">
        <v>72.09</v>
      </c>
      <c r="G14" s="24">
        <f>C14 - F14</f>
        <v/>
      </c>
      <c r="H14" s="8" t="inlineStr">
        <is>
          <t>Train</t>
        </is>
      </c>
      <c r="I14" s="8">
        <f>IF(ABS(E14)&lt;=ABS(G14), "MLNN", "LinReg")</f>
        <v/>
      </c>
    </row>
    <row r="15">
      <c r="B15" s="8" t="n">
        <v>11</v>
      </c>
      <c r="C15" s="24" t="n">
        <v>77</v>
      </c>
      <c r="D15" s="24">
        <f>'Forward Pass (All Data)'!P15</f>
        <v/>
      </c>
      <c r="E15" s="24">
        <f>C15 - D15</f>
        <v/>
      </c>
      <c r="F15" s="24" t="n">
        <v>76.28</v>
      </c>
      <c r="G15" s="24">
        <f>C15 - F15</f>
        <v/>
      </c>
      <c r="H15" s="8" t="inlineStr">
        <is>
          <t>Train</t>
        </is>
      </c>
      <c r="I15" s="8">
        <f>IF(ABS(E15)&lt;=ABS(G15), "MLNN", "LinReg")</f>
        <v/>
      </c>
    </row>
    <row r="16">
      <c r="B16" s="8" t="n">
        <v>12</v>
      </c>
      <c r="C16" s="24" t="n">
        <v>84</v>
      </c>
      <c r="D16" s="24">
        <f>'Forward Pass (All Data)'!P16</f>
        <v/>
      </c>
      <c r="E16" s="24">
        <f>C16 - D16</f>
        <v/>
      </c>
      <c r="F16" s="24" t="n">
        <v>83.47</v>
      </c>
      <c r="G16" s="24">
        <f>C16 - F16</f>
        <v/>
      </c>
      <c r="H16" s="8" t="inlineStr">
        <is>
          <t>Train</t>
        </is>
      </c>
      <c r="I16" s="8">
        <f>IF(ABS(E16)&lt;=ABS(G16), "MLNN", "LinReg")</f>
        <v/>
      </c>
    </row>
    <row r="17">
      <c r="B17" s="8" t="n">
        <v>13</v>
      </c>
      <c r="C17" s="24" t="n">
        <v>40</v>
      </c>
      <c r="D17" s="24">
        <f>'Forward Pass (All Data)'!P17</f>
        <v/>
      </c>
      <c r="E17" s="24">
        <f>C17 - D17</f>
        <v/>
      </c>
      <c r="F17" s="24" t="n">
        <v>40.6</v>
      </c>
      <c r="G17" s="24">
        <f>C17 - F17</f>
        <v/>
      </c>
      <c r="H17" s="8" t="inlineStr">
        <is>
          <t>Train</t>
        </is>
      </c>
      <c r="I17" s="8">
        <f>IF(ABS(E17)&lt;=ABS(G17), "MLNN", "LinReg")</f>
        <v/>
      </c>
    </row>
    <row r="18">
      <c r="B18" s="8" t="n">
        <v>14</v>
      </c>
      <c r="C18" s="24" t="n">
        <v>52</v>
      </c>
      <c r="D18" s="24">
        <f>'Forward Pass (All Data)'!P18</f>
        <v/>
      </c>
      <c r="E18" s="24">
        <f>C18 - D18</f>
        <v/>
      </c>
      <c r="F18" s="24" t="n">
        <v>51.95</v>
      </c>
      <c r="G18" s="24">
        <f>C18 - F18</f>
        <v/>
      </c>
      <c r="H18" s="8" t="inlineStr">
        <is>
          <t>Train</t>
        </is>
      </c>
      <c r="I18" s="8">
        <f>IF(ABS(E18)&lt;=ABS(G18), "MLNN", "LinReg")</f>
        <v/>
      </c>
    </row>
    <row r="19">
      <c r="B19" s="8" t="n">
        <v>15</v>
      </c>
      <c r="C19" s="24" t="n">
        <v>65</v>
      </c>
      <c r="D19" s="24">
        <f>'Forward Pass (All Data)'!P19</f>
        <v/>
      </c>
      <c r="E19" s="24">
        <f>C19 - D19</f>
        <v/>
      </c>
      <c r="F19" s="24" t="n">
        <v>64.81999999999999</v>
      </c>
      <c r="G19" s="24">
        <f>C19 - F19</f>
        <v/>
      </c>
      <c r="H19" s="8" t="inlineStr">
        <is>
          <t>Train</t>
        </is>
      </c>
      <c r="I19" s="8">
        <f>IF(ABS(E19)&lt;=ABS(G19), "MLNN", "LinReg")</f>
        <v/>
      </c>
    </row>
    <row r="20">
      <c r="B20" s="8" t="n">
        <v>16</v>
      </c>
      <c r="C20" s="24" t="n">
        <v>71</v>
      </c>
      <c r="D20" s="24">
        <f>'Forward Pass (All Data)'!P20</f>
        <v/>
      </c>
      <c r="E20" s="24">
        <f>C20 - D20</f>
        <v/>
      </c>
      <c r="F20" s="24" t="n">
        <v>71.14</v>
      </c>
      <c r="G20" s="24">
        <f>C20 - F20</f>
        <v/>
      </c>
      <c r="H20" s="8" t="inlineStr">
        <is>
          <t>Test</t>
        </is>
      </c>
      <c r="I20" s="8">
        <f>IF(ABS(E20)&lt;=ABS(G20), "MLNN", "LinReg")</f>
        <v/>
      </c>
    </row>
    <row r="21">
      <c r="B21" s="8" t="n">
        <v>17</v>
      </c>
      <c r="C21" s="24" t="n">
        <v>76</v>
      </c>
      <c r="D21" s="24">
        <f>'Forward Pass (All Data)'!P21</f>
        <v/>
      </c>
      <c r="E21" s="24">
        <f>C21 - D21</f>
        <v/>
      </c>
      <c r="F21" s="24" t="n">
        <v>76.01000000000001</v>
      </c>
      <c r="G21" s="24">
        <f>C21 - F21</f>
        <v/>
      </c>
      <c r="H21" s="8" t="inlineStr">
        <is>
          <t>Train</t>
        </is>
      </c>
      <c r="I21" s="8">
        <f>IF(ABS(E21)&lt;=ABS(G21), "MLNN", "LinReg")</f>
        <v/>
      </c>
    </row>
    <row r="22">
      <c r="B22" s="8" t="n">
        <v>18</v>
      </c>
      <c r="C22" s="24" t="n">
        <v>49</v>
      </c>
      <c r="D22" s="24">
        <f>'Forward Pass (All Data)'!P22</f>
        <v/>
      </c>
      <c r="E22" s="24">
        <f>C22 - D22</f>
        <v/>
      </c>
      <c r="F22" s="24" t="n">
        <v>47.95</v>
      </c>
      <c r="G22" s="24">
        <f>C22 - F22</f>
        <v/>
      </c>
      <c r="H22" s="8" t="inlineStr">
        <is>
          <t>Test</t>
        </is>
      </c>
      <c r="I22" s="8">
        <f>IF(ABS(E22)&lt;=ABS(G22), "MLNN", "LinReg")</f>
        <v/>
      </c>
    </row>
    <row r="23">
      <c r="B23" s="8" t="n">
        <v>19</v>
      </c>
      <c r="C23" s="24" t="n">
        <v>59</v>
      </c>
      <c r="D23" s="24">
        <f>'Forward Pass (All Data)'!P23</f>
        <v/>
      </c>
      <c r="E23" s="24">
        <f>C23 - D23</f>
        <v/>
      </c>
      <c r="F23" s="24" t="n">
        <v>59.43</v>
      </c>
      <c r="G23" s="24">
        <f>C23 - F23</f>
        <v/>
      </c>
      <c r="H23" s="8" t="inlineStr">
        <is>
          <t>Train</t>
        </is>
      </c>
      <c r="I23" s="8">
        <f>IF(ABS(E23)&lt;=ABS(G23), "MLNN", "LinReg")</f>
        <v/>
      </c>
    </row>
    <row r="24">
      <c r="B24" s="8" t="n">
        <v>20</v>
      </c>
      <c r="C24" s="24" t="n">
        <v>88</v>
      </c>
      <c r="D24" s="24">
        <f>'Forward Pass (All Data)'!P24</f>
        <v/>
      </c>
      <c r="E24" s="24">
        <f>C24 - D24</f>
        <v/>
      </c>
      <c r="F24" s="24" t="n">
        <v>88.31</v>
      </c>
      <c r="G24" s="24">
        <f>C24 - F24</f>
        <v/>
      </c>
      <c r="H24" s="8" t="inlineStr">
        <is>
          <t>Train</t>
        </is>
      </c>
      <c r="I24" s="8">
        <f>IF(ABS(E24)&lt;=ABS(G24), "MLNN", "LinReg")</f>
        <v/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2026-10-11T17:47:53Z</dcterms:created>
  <dcterms:modified xsi:type="dcterms:W3CDTF">2026-10-11T17:47:53Z</dcterms:modified>
</cp:coreProperties>
</file>